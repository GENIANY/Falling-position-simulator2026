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56889e3066471da/ドキュメント/00 よく使う/n_名古屋大学/06_Chart/バルーン/Balloon_Sim/2026_Sep_/参考資料/"/>
    </mc:Choice>
  </mc:AlternateContent>
  <xr:revisionPtr revIDLastSave="1" documentId="11_255A189CBAC1471598D7D6D4B3D04A37A6DE684C" xr6:coauthVersionLast="47" xr6:coauthVersionMax="47" xr10:uidLastSave="{B78305C3-A9F8-4037-B1F4-FFCE90AFDA03}"/>
  <bookViews>
    <workbookView xWindow="-98" yWindow="-98" windowWidth="21795" windowHeight="12975" xr2:uid="{00000000-000D-0000-FFFF-FFFF00000000}"/>
  </bookViews>
  <sheets>
    <sheet name="過去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</calcChain>
</file>

<file path=xl/sharedStrings.xml><?xml version="1.0" encoding="utf-8"?>
<sst xmlns="http://schemas.openxmlformats.org/spreadsheetml/2006/main" count="258" uniqueCount="201">
  <si>
    <t>列 1</t>
  </si>
  <si>
    <t>日付</t>
  </si>
  <si>
    <t>成功/失敗</t>
  </si>
  <si>
    <t>放球場所</t>
  </si>
  <si>
    <t>回収場所</t>
  </si>
  <si>
    <t>上昇速度(平均)カメラより</t>
  </si>
  <si>
    <t>上昇速度①(10分)</t>
  </si>
  <si>
    <t>上昇速度②(10分)</t>
  </si>
  <si>
    <t>上昇速度③(10分)</t>
  </si>
  <si>
    <t>上昇速度④(10分)</t>
  </si>
  <si>
    <t>上昇速度⑤(10分)</t>
  </si>
  <si>
    <t>上昇速度⑥(10分)</t>
  </si>
  <si>
    <t>降下速度平均カメラより</t>
  </si>
  <si>
    <t>降下速度①(10分)</t>
  </si>
  <si>
    <t>降下速度②(10分)</t>
  </si>
  <si>
    <t>降下速度③(10分)</t>
  </si>
  <si>
    <t>降下速度④(10分)</t>
  </si>
  <si>
    <t>放球時刻</t>
  </si>
  <si>
    <t>飛行時間</t>
  </si>
  <si>
    <t>バースト時間</t>
  </si>
  <si>
    <t>高度</t>
  </si>
  <si>
    <t>機体の重さ</t>
  </si>
  <si>
    <t>風船の種類</t>
  </si>
  <si>
    <t>ガスの量</t>
  </si>
  <si>
    <t>成功/失敗の具体的な内容</t>
  </si>
  <si>
    <t>安全対策の具体的な内容</t>
  </si>
  <si>
    <t>公開記事/動画</t>
  </si>
  <si>
    <t>メモ</t>
  </si>
  <si>
    <t>2024年度</t>
  </si>
  <si>
    <t>第1回(Chart実験)</t>
  </si>
  <si>
    <t>失敗</t>
  </si>
  <si>
    <t>栃木県宇都宮市</t>
  </si>
  <si>
    <t>回収失敗(海上)</t>
  </si>
  <si>
    <t>不明</t>
  </si>
  <si>
    <t>予測段階では、放球高度を10,000メートルに設定していた。人的ミスであった。その結果、機体は大きく逸れ、太平洋の遥か彼方まで流されてしまった。また、無線機を用いてGPS信号を受信しようとしたものの、信号を取得することはできなかった。</t>
  </si>
  <si>
    <t>ケンブリッジの予測を使用。</t>
  </si>
  <si>
    <t>高度30km 大気圧は地上の1/100(気球工学より)</t>
  </si>
  <si>
    <t>第2回(Chart実験)</t>
  </si>
  <si>
    <t>成功</t>
  </si>
  <si>
    <t>長野県東筑摩郡</t>
  </si>
  <si>
    <t>茨城県猿島郡五霞町</t>
  </si>
  <si>
    <t>3時間15分</t>
  </si>
  <si>
    <t>2時間58分</t>
  </si>
  <si>
    <t>ドイツ風船</t>
  </si>
  <si>
    <t>茨城県五霞町付近に落下しましたが、もう少しずれていれば市街地に達する恐れがあり、その危険性を改めて認識した。そのため、今後は海上での回収を必須とする方針を決定した。</t>
  </si>
  <si>
    <t>Chart、スペースバルーン打ち上げ成功！ 成層圏から撮影した映像を公開</t>
  </si>
  <si>
    <t>ゴム気球はペイロード10kgが限度。</t>
  </si>
  <si>
    <t>第3回(にゃんたい観測)</t>
  </si>
  <si>
    <t>栃木県大田原市福原１４１７</t>
  </si>
  <si>
    <t>大洗沖5海里以内</t>
  </si>
  <si>
    <t>4.0m/s(898m~3321m)</t>
  </si>
  <si>
    <t>3.48m/s(3321m~5411m)</t>
  </si>
  <si>
    <t>3.53m/s(5411m~7532m)</t>
  </si>
  <si>
    <t>3.35m/s(7532m~9547m)</t>
  </si>
  <si>
    <t>5.7m/s(9990m~6523m)</t>
  </si>
  <si>
    <t>4.6m/s(6523m~3703m)</t>
  </si>
  <si>
    <t>3.8m/s(3703m~1385m)</t>
  </si>
  <si>
    <t>2.3m/s(1385m~0m)</t>
  </si>
  <si>
    <t>2時間40分</t>
  </si>
  <si>
    <t>2時間01分</t>
  </si>
  <si>
    <t>約750g</t>
  </si>
  <si>
    <t>エミリー(8f)</t>
  </si>
  <si>
    <t>船舶免許を取得して初めての打ち上げ。落下地点は大洗沖で、計画通りレンタルした船で回収を実施。幸いにも海が穏やかで、約2時間ほどで海上にて発見。</t>
  </si>
  <si>
    <t>第3回以降は、半径5km〜10kmの範囲内で、基本的に海上へ落下するよう予測。比較：ケンブリッジの予測とドイツの予測システムを利用→https://www.stratoflights.com/en/tutorial/weather-balloon-tools/predicting-the-flight-path/</t>
  </si>
  <si>
    <t>【にゃんたい観測】スペースバルーンプロジェクト【ダイジェスト映像】</t>
  </si>
  <si>
    <t>第4回(相模原市さがみん)</t>
  </si>
  <si>
    <t>茨城県土浦市大畑</t>
  </si>
  <si>
    <t>平均3.2m/s</t>
  </si>
  <si>
    <t>2.25m/s(1548m~2902m)</t>
  </si>
  <si>
    <t>2.45m/s(2902m~4373m)</t>
  </si>
  <si>
    <t>2.40m/s(4373m~5813m)</t>
  </si>
  <si>
    <t>2.60m/s(5813m~7379m)</t>
  </si>
  <si>
    <t>2.38m/s(7379m~8811m)</t>
  </si>
  <si>
    <t>約20m/s (25分で降下)</t>
  </si>
  <si>
    <t>13.0m/s(9804m~1220m)</t>
  </si>
  <si>
    <t>2.41m/s(1447m~0m)</t>
  </si>
  <si>
    <t>3時間14分</t>
  </si>
  <si>
    <t>2時間49分</t>
  </si>
  <si>
    <t>3万？</t>
  </si>
  <si>
    <t>約800g</t>
  </si>
  <si>
    <t>2000mL (2100?)</t>
  </si>
  <si>
    <t>海上に到達後、荒天の影響で捜索は難航。乗船者は船酔いに苦しみながらも、約4時間かけて発見に成功。その後の調査で、パラシュートが機能しなかった可能性が浮上。原因としては、パラシュートと風船の距離が近すぎたことが考えられる。</t>
  </si>
  <si>
    <t>ドイツの予測システムに統一。第3回以降は、半径5km〜10kmの範囲内で、基本的に海上へ落下するよう予測。</t>
  </si>
  <si>
    <t>【ダイジェスト版】さがみん成層圏へ到達【市長コメントあり】</t>
  </si>
  <si>
    <t>第5回(星街すいせい)</t>
  </si>
  <si>
    <t>埼玉県秩父市浦山</t>
  </si>
  <si>
    <t>回収失敗。大洗沖5海里以上先に流される。</t>
  </si>
  <si>
    <t>1.94m/s(1828m~2997m)</t>
  </si>
  <si>
    <t>1.98m/s(2997m~4186m)</t>
  </si>
  <si>
    <t>2.44m/s(4186m~5654m)</t>
  </si>
  <si>
    <t>1.99m/s(5654m~6850m)</t>
  </si>
  <si>
    <t>2.11m/s(6850m~8117m)</t>
  </si>
  <si>
    <t>2.22m/s(8117m~9451m)</t>
  </si>
  <si>
    <t>6.39m/s(9928m~6090m)</t>
  </si>
  <si>
    <t>不明(6090m~9290m)</t>
  </si>
  <si>
    <t>13.89m/s(9290m~951m)</t>
  </si>
  <si>
    <t>1.58m/s(951m~0m)</t>
  </si>
  <si>
    <t>3時間24~34分</t>
  </si>
  <si>
    <t>約950g (936g)</t>
  </si>
  <si>
    <t xml:space="preserve">2600mL </t>
  </si>
  <si>
    <t>沖合10kn以上に流される。レンタル船では回収不可(5kmまで航行可)のため、当日漁船を探す。当日は厳しかったため、翌日早朝に回収へ向かう。海が荒れすぎていたため、帰港。回収断念。GPSからパラシュートが思ったより機能したため、落ちてくるまでが長かった。沖合5km以内に落とすことの難しさを痛感。</t>
  </si>
  <si>
    <t>第3回以降は、半径5km〜10kmの範囲内で、基本的に海上へ落下するよう予測。</t>
  </si>
  <si>
    <t>第6回(星街すいせい)</t>
  </si>
  <si>
    <t>岐阜県揖斐郡池田町粕ヶ原２３１</t>
  </si>
  <si>
    <t>茨城県稲敷郡美浦村</t>
  </si>
  <si>
    <t>平均2.9~3.5m/s</t>
  </si>
  <si>
    <t>2.45m/s(36m~1065m)</t>
  </si>
  <si>
    <t>2.42m/s(1065m~2518m)</t>
  </si>
  <si>
    <t>2.77m/s(2518m~4182m)</t>
  </si>
  <si>
    <t>2.40m/s(4182m~5624m)</t>
  </si>
  <si>
    <t>2.48m/s(5624m~7114m)</t>
  </si>
  <si>
    <t>2.66m/s(7114m~8715m)</t>
  </si>
  <si>
    <t>6.76m/s(9909m~5852m)</t>
  </si>
  <si>
    <t>5.37m/s(5852m~2628m)</t>
  </si>
  <si>
    <t>4.26m/s(2628m~69m)</t>
  </si>
  <si>
    <t>なし</t>
  </si>
  <si>
    <t>3時間24~29分</t>
  </si>
  <si>
    <t>2時間21分</t>
  </si>
  <si>
    <t>約1100g</t>
  </si>
  <si>
    <t xml:space="preserve">2800mL </t>
  </si>
  <si>
    <t>再トライでは失敗が許されない状況だったため、霞ヶ浦付近の畑に落下するよう綿密に計画。その結果、ほぼ予測通りの地点に落下。</t>
  </si>
  <si>
    <t>落下時の器物破損に注意。機体をプチプチシートでぐるぐる巻き。</t>
  </si>
  <si>
    <t>【星街すいせい × 相模原市 × JAXA】成層圏へ【#相模原すいせいコラボ】</t>
  </si>
  <si>
    <t>第7回(星見まどか)</t>
  </si>
  <si>
    <t>岐阜県下呂市金山町金山１８００−１</t>
  </si>
  <si>
    <t>茨城県東茨城郡大洗町</t>
  </si>
  <si>
    <t>不明(破裂まで撮れていない)</t>
  </si>
  <si>
    <t>2.28m/s(243m~1753m)</t>
  </si>
  <si>
    <t>2.43m/s(1753m~3214m)</t>
  </si>
  <si>
    <t>2.35m/s(3214m~4625m)</t>
  </si>
  <si>
    <t>2.23m/s(4625m~5966m)</t>
  </si>
  <si>
    <t>2.58m/s(5966m~7516m)</t>
  </si>
  <si>
    <t>2.75m/s(7516m~9171m)</t>
  </si>
  <si>
    <t>不明(撮れていない)</t>
  </si>
  <si>
    <t>7.05m/s(9996m~5761m)</t>
  </si>
  <si>
    <t>6.00m/s(5761m~2159m)</t>
  </si>
  <si>
    <t>不明3.52m/s(2159m~47m)</t>
  </si>
  <si>
    <t>3時間00~05分</t>
  </si>
  <si>
    <t>2万〜2万8千</t>
  </si>
  <si>
    <t>866g</t>
  </si>
  <si>
    <t xml:space="preserve">2700mL </t>
  </si>
  <si>
    <t>予想通りの方向へ飛行。大洗沖に出る前にやや手前で落下。回収地点は畑となり、所有者の許可を得た上で、回収作業をライブ配信。原因として、以前に比べてパラシュートを小さくしたことで、落下速度が速くなった可能性が考えられる。</t>
  </si>
  <si>
    <t>【🌟 貴重映像】個人VTuberが成層圏へ到達！ スペースバルーン打上げから回収までのダイジェスト映像！【#星見スペースバルーン / 星見まどか】</t>
  </si>
  <si>
    <t>カメラバルーン破裂前に切れる。バッテリーはほぼ減っていなかった。カメラ側に問題あり。</t>
  </si>
  <si>
    <t>2025年度</t>
  </si>
  <si>
    <t>第8回(ヒロインメイク)</t>
  </si>
  <si>
    <t>埼玉県秩父市荒川日野</t>
  </si>
  <si>
    <t>大洗沖40 海里以上</t>
  </si>
  <si>
    <t>4.25m/s(3,076m~5,629m)</t>
  </si>
  <si>
    <t>3.53m/s(5,629m~7,750m)</t>
  </si>
  <si>
    <t>3.67m/s(7,750m~9,953m)</t>
  </si>
  <si>
    <t>4.48m/s(9,971m~6,740m)12分</t>
  </si>
  <si>
    <t>4.06m/s(6,740m~4,055m)11分</t>
  </si>
  <si>
    <t>3.74m/s(4,055m~682m)15分</t>
  </si>
  <si>
    <t>上昇速度5.59/下降速度7で計算していたため、大幅なズレが生じた</t>
  </si>
  <si>
    <t>第9回(ヒロインメイク2回目)</t>
  </si>
  <si>
    <t>長野県千曲市上山田温泉４丁目１２−３</t>
  </si>
  <si>
    <t>36.222556 140.021481</t>
  </si>
  <si>
    <t>4.48m/s(388m~1,733m)</t>
  </si>
  <si>
    <t>5.02m/s(1,733m~4,746m)</t>
  </si>
  <si>
    <t>4.88m/s(4,746m~7676m)</t>
  </si>
  <si>
    <t xml:space="preserve"> </t>
  </si>
  <si>
    <t>5.79m/s(5,074m~1,338m)</t>
  </si>
  <si>
    <t>エミリー(10f)</t>
  </si>
  <si>
    <t>第10回(MTG共同PR)</t>
  </si>
  <si>
    <t>〒066-0281 北海道千歳市支笏湖温泉番外地</t>
  </si>
  <si>
    <t>7.47m/s(9,984m~5,502m)</t>
  </si>
  <si>
    <t>9.03m/s(5,502m~83m)</t>
  </si>
  <si>
    <t xml:space="preserve">3100mL </t>
  </si>
  <si>
    <t>第11回(MTG共同PR)</t>
  </si>
  <si>
    <t>5.29m/s(2,940m~6,117m)</t>
  </si>
  <si>
    <t>6.04m/s(6,117m~9,742m)</t>
  </si>
  <si>
    <t>7m/s(9,897m~5,697m)</t>
  </si>
  <si>
    <t>5.54m/s(5,697m~2,369m)</t>
  </si>
  <si>
    <t>3.80m/s(2,369m~85m)10分間ではない</t>
  </si>
  <si>
    <t>1014g</t>
  </si>
  <si>
    <t>第12回(株式会社VOISING)</t>
  </si>
  <si>
    <t>42.182318 142.850976</t>
  </si>
  <si>
    <t>43.122121 144.807015</t>
  </si>
  <si>
    <t>5.25m/s(715m~3,865m)</t>
  </si>
  <si>
    <t>5.58m/s(3,865m~7,213m)</t>
  </si>
  <si>
    <t>6.06m/s(9,934m~6,297m)</t>
  </si>
  <si>
    <t>5.18m/s(6,297m~3,186m)</t>
  </si>
  <si>
    <t>4.37m/s(3,186m~561m)</t>
  </si>
  <si>
    <t>2000g</t>
  </si>
  <si>
    <t>エミリー(12f)</t>
  </si>
  <si>
    <t>5000近く</t>
  </si>
  <si>
    <t>第13回(石川さんバルーン)</t>
  </si>
  <si>
    <t>ガスの量が足りなかった</t>
  </si>
  <si>
    <t>第14回(石川さんバルーン)</t>
  </si>
  <si>
    <t>Garminが取得できず</t>
  </si>
  <si>
    <t>5.54m/s(126m~4,454m)</t>
  </si>
  <si>
    <t>第15回(推し宙バルーン)</t>
  </si>
  <si>
    <t>43.283536 142.397296</t>
  </si>
  <si>
    <t>43.388593 144.670586</t>
  </si>
  <si>
    <t>5.54m/s(187m~2,848m)</t>
  </si>
  <si>
    <t>5.92m/s(2,848m~6,403m)</t>
  </si>
  <si>
    <t>5.69m/s(9,965m~6,551m)</t>
  </si>
  <si>
    <t>4.82m/s(6,551m~3,654m)</t>
  </si>
  <si>
    <t>4.77m/s(3,654m~788m)</t>
  </si>
  <si>
    <r>
      <rPr>
        <sz val="10"/>
        <color theme="1"/>
        <rFont val="ＭＳ ゴシック"/>
        <family val="3"/>
        <charset val="128"/>
      </rPr>
      <t>エミリー</t>
    </r>
    <r>
      <rPr>
        <sz val="10"/>
        <color theme="1"/>
        <rFont val="Arial"/>
        <family val="2"/>
      </rPr>
      <t>(8f)</t>
    </r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</si>
</sst>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rgb="FFFF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434343"/>
      <name val="Arial"/>
      <family val="2"/>
    </font>
    <font>
      <sz val="10"/>
      <color rgb="FF434343"/>
      <name val="Arial"/>
      <family val="2"/>
    </font>
    <font>
      <sz val="10"/>
      <color rgb="FF2A3243"/>
      <name val="Arial"/>
      <family val="2"/>
    </font>
    <font>
      <sz val="10"/>
      <color rgb="FF2C481F"/>
      <name val="Arial"/>
      <family val="2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76" fontId="1" fillId="0" borderId="0" xfId="0" applyNumberFormat="1" applyFont="1"/>
    <xf numFmtId="0" fontId="5" fillId="0" borderId="0" xfId="0" applyFont="1" applyAlignment="1">
      <alignment vertical="center"/>
    </xf>
    <xf numFmtId="20" fontId="1" fillId="0" borderId="0" xfId="0" applyNumberFormat="1" applyFont="1"/>
    <xf numFmtId="0" fontId="6" fillId="0" borderId="0" xfId="0" applyFont="1"/>
    <xf numFmtId="3" fontId="1" fillId="0" borderId="0" xfId="0" applyNumberFormat="1" applyFont="1"/>
    <xf numFmtId="0" fontId="7" fillId="2" borderId="1" xfId="0" applyFont="1" applyFill="1" applyBorder="1"/>
    <xf numFmtId="176" fontId="8" fillId="2" borderId="2" xfId="0" applyNumberFormat="1" applyFont="1" applyFill="1" applyBorder="1" applyAlignment="1">
      <alignment horizontal="right"/>
    </xf>
    <xf numFmtId="0" fontId="9" fillId="2" borderId="2" xfId="0" applyFont="1" applyFill="1" applyBorder="1"/>
    <xf numFmtId="0" fontId="1" fillId="2" borderId="2" xfId="0" applyFont="1" applyFill="1" applyBorder="1"/>
    <xf numFmtId="0" fontId="8" fillId="2" borderId="2" xfId="0" applyFont="1" applyFill="1" applyBorder="1"/>
    <xf numFmtId="3" fontId="1" fillId="2" borderId="2" xfId="0" applyNumberFormat="1" applyFont="1" applyFill="1" applyBorder="1"/>
    <xf numFmtId="20" fontId="1" fillId="2" borderId="2" xfId="0" applyNumberFormat="1" applyFont="1" applyFill="1" applyBorder="1"/>
    <xf numFmtId="0" fontId="8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/>
    <xf numFmtId="0" fontId="7" fillId="3" borderId="4" xfId="0" applyFont="1" applyFill="1" applyBorder="1"/>
    <xf numFmtId="176" fontId="8" fillId="3" borderId="5" xfId="0" applyNumberFormat="1" applyFont="1" applyFill="1" applyBorder="1" applyAlignment="1">
      <alignment horizontal="right"/>
    </xf>
    <xf numFmtId="0" fontId="9" fillId="3" borderId="5" xfId="0" applyFont="1" applyFill="1" applyBorder="1"/>
    <xf numFmtId="0" fontId="8" fillId="3" borderId="5" xfId="0" applyFont="1" applyFill="1" applyBorder="1"/>
    <xf numFmtId="0" fontId="1" fillId="3" borderId="5" xfId="0" applyFont="1" applyFill="1" applyBorder="1"/>
    <xf numFmtId="3" fontId="1" fillId="3" borderId="5" xfId="0" applyNumberFormat="1" applyFont="1" applyFill="1" applyBorder="1"/>
    <xf numFmtId="20" fontId="8" fillId="3" borderId="5" xfId="0" applyNumberFormat="1" applyFont="1" applyFill="1" applyBorder="1" applyAlignment="1">
      <alignment horizontal="right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/>
    <xf numFmtId="0" fontId="10" fillId="2" borderId="2" xfId="0" applyFont="1" applyFill="1" applyBorder="1"/>
    <xf numFmtId="0" fontId="10" fillId="3" borderId="5" xfId="0" applyFont="1" applyFill="1" applyBorder="1"/>
    <xf numFmtId="20" fontId="1" fillId="3" borderId="5" xfId="0" applyNumberFormat="1" applyFont="1" applyFill="1" applyBorder="1"/>
    <xf numFmtId="0" fontId="7" fillId="2" borderId="7" xfId="0" applyFont="1" applyFill="1" applyBorder="1"/>
    <xf numFmtId="176" fontId="8" fillId="2" borderId="8" xfId="0" applyNumberFormat="1" applyFont="1" applyFill="1" applyBorder="1" applyAlignment="1">
      <alignment horizontal="right"/>
    </xf>
    <xf numFmtId="0" fontId="9" fillId="2" borderId="8" xfId="0" applyFont="1" applyFill="1" applyBorder="1"/>
    <xf numFmtId="0" fontId="8" fillId="2" borderId="8" xfId="0" applyFont="1" applyFill="1" applyBorder="1"/>
    <xf numFmtId="0" fontId="1" fillId="2" borderId="8" xfId="0" applyFont="1" applyFill="1" applyBorder="1"/>
    <xf numFmtId="3" fontId="1" fillId="2" borderId="8" xfId="0" applyNumberFormat="1" applyFont="1" applyFill="1" applyBorder="1"/>
    <xf numFmtId="20" fontId="8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/>
    <xf numFmtId="0" fontId="13" fillId="0" borderId="0" xfId="0" applyFont="1"/>
  </cellXfs>
  <cellStyles count="1">
    <cellStyle name="標準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過去データ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" displayName="表" ref="A1:AB18">
  <tableColumns count="28">
    <tableColumn id="1" xr3:uid="{00000000-0010-0000-0000-000001000000}" name="列 1"/>
    <tableColumn id="2" xr3:uid="{00000000-0010-0000-0000-000002000000}" name="日付"/>
    <tableColumn id="3" xr3:uid="{00000000-0010-0000-0000-000003000000}" name="成功/失敗"/>
    <tableColumn id="4" xr3:uid="{00000000-0010-0000-0000-000004000000}" name="放球場所"/>
    <tableColumn id="5" xr3:uid="{00000000-0010-0000-0000-000005000000}" name="回収場所"/>
    <tableColumn id="6" xr3:uid="{00000000-0010-0000-0000-000006000000}" name="上昇速度(平均)カメラより"/>
    <tableColumn id="7" xr3:uid="{00000000-0010-0000-0000-000007000000}" name="上昇速度①(10分)"/>
    <tableColumn id="8" xr3:uid="{00000000-0010-0000-0000-000008000000}" name="上昇速度②(10分)"/>
    <tableColumn id="9" xr3:uid="{00000000-0010-0000-0000-000009000000}" name="上昇速度③(10分)"/>
    <tableColumn id="10" xr3:uid="{00000000-0010-0000-0000-00000A000000}" name="上昇速度④(10分)"/>
    <tableColumn id="11" xr3:uid="{00000000-0010-0000-0000-00000B000000}" name="上昇速度⑤(10分)"/>
    <tableColumn id="12" xr3:uid="{00000000-0010-0000-0000-00000C000000}" name="上昇速度⑥(10分)"/>
    <tableColumn id="13" xr3:uid="{00000000-0010-0000-0000-00000D000000}" name="降下速度平均カメラより"/>
    <tableColumn id="14" xr3:uid="{00000000-0010-0000-0000-00000E000000}" name="降下速度①(10分)"/>
    <tableColumn id="15" xr3:uid="{00000000-0010-0000-0000-00000F000000}" name="降下速度②(10分)"/>
    <tableColumn id="16" xr3:uid="{00000000-0010-0000-0000-000010000000}" name="降下速度③(10分)"/>
    <tableColumn id="17" xr3:uid="{00000000-0010-0000-0000-000011000000}" name="降下速度④(10分)"/>
    <tableColumn id="18" xr3:uid="{00000000-0010-0000-0000-000012000000}" name="放球時刻"/>
    <tableColumn id="19" xr3:uid="{00000000-0010-0000-0000-000013000000}" name="飛行時間"/>
    <tableColumn id="20" xr3:uid="{00000000-0010-0000-0000-000014000000}" name="バースト時間"/>
    <tableColumn id="21" xr3:uid="{00000000-0010-0000-0000-000015000000}" name="高度"/>
    <tableColumn id="22" xr3:uid="{00000000-0010-0000-0000-000016000000}" name="機体の重さ"/>
    <tableColumn id="23" xr3:uid="{00000000-0010-0000-0000-000017000000}" name="風船の種類"/>
    <tableColumn id="24" xr3:uid="{00000000-0010-0000-0000-000018000000}" name="ガスの量"/>
    <tableColumn id="25" xr3:uid="{00000000-0010-0000-0000-000019000000}" name="成功/失敗の具体的な内容"/>
    <tableColumn id="26" xr3:uid="{00000000-0010-0000-0000-00001A000000}" name="安全対策の具体的な内容"/>
    <tableColumn id="27" xr3:uid="{00000000-0010-0000-0000-00001B000000}" name="公開記事/動画"/>
    <tableColumn id="28" xr3:uid="{00000000-0010-0000-0000-00001C000000}" name="メモ"/>
  </tableColumns>
  <tableStyleInfo name="過去データ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5ftu-HTBlaI?si=-3rQfxr0jMs0ydaV" TargetMode="External"/><Relationship Id="rId2" Type="http://schemas.openxmlformats.org/officeDocument/2006/relationships/hyperlink" Target="https://youtu.be/R5LT2bmWH70?si=VHdrn0VIAYr9FDmJ" TargetMode="External"/><Relationship Id="rId1" Type="http://schemas.openxmlformats.org/officeDocument/2006/relationships/hyperlink" Target="https://sorae.info/space/20240524-chart.html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youtu.be/q-kHaoEWcwc?si=mQrdr__dsXYakSVE" TargetMode="External"/><Relationship Id="rId4" Type="http://schemas.openxmlformats.org/officeDocument/2006/relationships/hyperlink" Target="https://youtu.be/kfdsUmahSk0?si=75uLDC141j5s4J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1"/>
  <sheetViews>
    <sheetView tabSelected="1" workbookViewId="0">
      <pane xSplit="1" ySplit="1" topLeftCell="E5" activePane="bottomRight" state="frozen"/>
      <selection pane="topRight" activeCell="B1" sqref="B1"/>
      <selection pane="bottomLeft" activeCell="A2" sqref="A2"/>
      <selection pane="bottomRight" activeCell="Y11" sqref="Y11"/>
    </sheetView>
  </sheetViews>
  <sheetFormatPr defaultColWidth="12.59765625" defaultRowHeight="15.75" customHeight="1" x14ac:dyDescent="0.35"/>
  <cols>
    <col min="1" max="1" width="23.46484375" customWidth="1"/>
    <col min="2" max="2" width="6.3984375" customWidth="1"/>
    <col min="3" max="3" width="15.86328125" customWidth="1"/>
    <col min="4" max="4" width="35.73046875" customWidth="1"/>
    <col min="5" max="5" width="34.86328125" customWidth="1"/>
    <col min="6" max="6" width="25" customWidth="1"/>
    <col min="7" max="8" width="20.46484375" customWidth="1"/>
    <col min="9" max="11" width="21.3984375" customWidth="1"/>
    <col min="12" max="12" width="20.46484375" customWidth="1"/>
    <col min="13" max="13" width="23.86328125" customWidth="1"/>
    <col min="14" max="14" width="25.73046875" customWidth="1"/>
    <col min="15" max="15" width="24.73046875" customWidth="1"/>
    <col min="16" max="16" width="23.46484375" customWidth="1"/>
    <col min="17" max="17" width="18.46484375" customWidth="1"/>
    <col min="18" max="18" width="12.1328125" customWidth="1"/>
    <col min="19" max="19" width="12.86328125" customWidth="1"/>
    <col min="20" max="20" width="15.3984375" customWidth="1"/>
    <col min="21" max="21" width="11.73046875" customWidth="1"/>
    <col min="22" max="23" width="13.86328125" customWidth="1"/>
    <col min="24" max="24" width="14.46484375" customWidth="1"/>
    <col min="25" max="25" width="41.73046875" customWidth="1"/>
    <col min="26" max="28" width="37.59765625" customWidth="1"/>
    <col min="30" max="30" width="14.265625" customWidth="1"/>
  </cols>
  <sheetData>
    <row r="1" spans="1:30" ht="22.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4"/>
      <c r="AD1" s="4"/>
    </row>
    <row r="2" spans="1:30" ht="22.5" customHeight="1" x14ac:dyDescent="0.4">
      <c r="A2" s="5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6"/>
      <c r="AB2" s="6"/>
      <c r="AC2" s="4"/>
      <c r="AD2" s="4"/>
    </row>
    <row r="3" spans="1:30" ht="22.5" customHeight="1" x14ac:dyDescent="0.4">
      <c r="A3" s="6" t="s">
        <v>29</v>
      </c>
      <c r="B3" s="8">
        <v>45714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  <c r="O3" s="4" t="s">
        <v>33</v>
      </c>
      <c r="P3" s="4" t="s">
        <v>33</v>
      </c>
      <c r="Q3" s="4" t="s">
        <v>33</v>
      </c>
      <c r="R3" s="4"/>
      <c r="S3" s="4"/>
      <c r="T3" s="4"/>
      <c r="U3" s="4"/>
      <c r="V3" s="4"/>
      <c r="W3" s="4"/>
      <c r="X3" s="4"/>
      <c r="Y3" s="9" t="s">
        <v>34</v>
      </c>
      <c r="Z3" s="9" t="s">
        <v>35</v>
      </c>
      <c r="AA3" s="4"/>
      <c r="AB3" s="4" t="s">
        <v>36</v>
      </c>
      <c r="AC3" s="4"/>
      <c r="AD3" s="4"/>
    </row>
    <row r="4" spans="1:30" ht="22.5" customHeight="1" x14ac:dyDescent="0.4">
      <c r="A4" s="6" t="s">
        <v>37</v>
      </c>
      <c r="B4" s="8">
        <v>45761</v>
      </c>
      <c r="C4" s="4" t="s">
        <v>38</v>
      </c>
      <c r="D4" s="4" t="s">
        <v>39</v>
      </c>
      <c r="E4" s="4" t="s">
        <v>40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  <c r="O4" s="4" t="s">
        <v>33</v>
      </c>
      <c r="P4" s="4" t="s">
        <v>33</v>
      </c>
      <c r="Q4" s="4" t="s">
        <v>33</v>
      </c>
      <c r="R4" s="10">
        <v>0.2986111111111111</v>
      </c>
      <c r="S4" s="4" t="s">
        <v>41</v>
      </c>
      <c r="T4" s="4" t="s">
        <v>42</v>
      </c>
      <c r="U4" s="4"/>
      <c r="V4" s="4"/>
      <c r="W4" s="4" t="s">
        <v>43</v>
      </c>
      <c r="X4" s="4"/>
      <c r="Y4" s="9" t="s">
        <v>44</v>
      </c>
      <c r="Z4" s="9" t="s">
        <v>35</v>
      </c>
      <c r="AA4" s="11" t="s">
        <v>45</v>
      </c>
      <c r="AB4" s="4" t="s">
        <v>46</v>
      </c>
      <c r="AC4" s="4"/>
      <c r="AD4" s="4"/>
    </row>
    <row r="5" spans="1:30" ht="22.5" customHeight="1" x14ac:dyDescent="0.4">
      <c r="A5" s="6" t="s">
        <v>47</v>
      </c>
      <c r="B5" s="8">
        <v>45843</v>
      </c>
      <c r="C5" s="4" t="s">
        <v>38</v>
      </c>
      <c r="D5" s="4" t="s">
        <v>48</v>
      </c>
      <c r="E5" s="4" t="s">
        <v>49</v>
      </c>
      <c r="F5" s="4" t="s">
        <v>33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33</v>
      </c>
      <c r="L5" s="4" t="s">
        <v>33</v>
      </c>
      <c r="M5" s="4" t="s">
        <v>33</v>
      </c>
      <c r="N5" s="4" t="s">
        <v>54</v>
      </c>
      <c r="O5" s="4" t="s">
        <v>55</v>
      </c>
      <c r="P5" s="4" t="s">
        <v>56</v>
      </c>
      <c r="Q5" s="4" t="s">
        <v>57</v>
      </c>
      <c r="R5" s="4"/>
      <c r="S5" s="4" t="s">
        <v>58</v>
      </c>
      <c r="T5" s="4" t="s">
        <v>59</v>
      </c>
      <c r="U5" s="4"/>
      <c r="V5" s="4" t="s">
        <v>60</v>
      </c>
      <c r="W5" s="44" t="s">
        <v>200</v>
      </c>
      <c r="X5" s="4"/>
      <c r="Y5" s="9" t="s">
        <v>62</v>
      </c>
      <c r="Z5" s="9" t="s">
        <v>63</v>
      </c>
      <c r="AA5" s="11" t="s">
        <v>64</v>
      </c>
      <c r="AB5" s="4"/>
      <c r="AC5" s="4"/>
      <c r="AD5" s="4"/>
    </row>
    <row r="6" spans="1:30" ht="22.5" customHeight="1" x14ac:dyDescent="0.4">
      <c r="A6" s="6" t="s">
        <v>65</v>
      </c>
      <c r="B6" s="8">
        <v>45888</v>
      </c>
      <c r="C6" s="4" t="s">
        <v>38</v>
      </c>
      <c r="D6" s="4" t="s">
        <v>66</v>
      </c>
      <c r="E6" s="4" t="s">
        <v>49</v>
      </c>
      <c r="F6" s="4" t="s">
        <v>67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72</v>
      </c>
      <c r="L6" s="4" t="s">
        <v>33</v>
      </c>
      <c r="M6" s="4" t="s">
        <v>73</v>
      </c>
      <c r="N6" s="4" t="s">
        <v>74</v>
      </c>
      <c r="O6" s="4" t="s">
        <v>75</v>
      </c>
      <c r="P6" s="4" t="s">
        <v>33</v>
      </c>
      <c r="Q6" s="4" t="s">
        <v>33</v>
      </c>
      <c r="R6" s="4"/>
      <c r="S6" s="4" t="s">
        <v>76</v>
      </c>
      <c r="T6" s="4" t="s">
        <v>77</v>
      </c>
      <c r="U6" s="4" t="s">
        <v>78</v>
      </c>
      <c r="V6" s="4" t="s">
        <v>79</v>
      </c>
      <c r="W6" s="4" t="s">
        <v>61</v>
      </c>
      <c r="X6" s="4" t="s">
        <v>80</v>
      </c>
      <c r="Y6" s="9" t="s">
        <v>81</v>
      </c>
      <c r="Z6" s="9" t="s">
        <v>82</v>
      </c>
      <c r="AA6" s="11" t="s">
        <v>83</v>
      </c>
      <c r="AB6" s="4"/>
      <c r="AC6" s="4"/>
      <c r="AD6" s="4"/>
    </row>
    <row r="7" spans="1:30" ht="22.5" customHeight="1" x14ac:dyDescent="0.4">
      <c r="A7" s="6" t="s">
        <v>84</v>
      </c>
      <c r="B7" s="8">
        <v>45946</v>
      </c>
      <c r="C7" s="4" t="s">
        <v>30</v>
      </c>
      <c r="D7" s="4" t="s">
        <v>85</v>
      </c>
      <c r="E7" s="4" t="s">
        <v>86</v>
      </c>
      <c r="F7" s="4" t="s">
        <v>33</v>
      </c>
      <c r="G7" s="4" t="s">
        <v>87</v>
      </c>
      <c r="H7" s="4" t="s">
        <v>88</v>
      </c>
      <c r="I7" s="4" t="s">
        <v>89</v>
      </c>
      <c r="J7" s="4" t="s">
        <v>90</v>
      </c>
      <c r="K7" s="4" t="s">
        <v>91</v>
      </c>
      <c r="L7" s="4" t="s">
        <v>92</v>
      </c>
      <c r="M7" s="4" t="s">
        <v>33</v>
      </c>
      <c r="N7" s="4" t="s">
        <v>93</v>
      </c>
      <c r="O7" s="4" t="s">
        <v>94</v>
      </c>
      <c r="P7" s="4" t="s">
        <v>95</v>
      </c>
      <c r="Q7" s="4" t="s">
        <v>96</v>
      </c>
      <c r="R7" s="4"/>
      <c r="S7" s="4" t="s">
        <v>97</v>
      </c>
      <c r="T7" s="4" t="s">
        <v>33</v>
      </c>
      <c r="U7" s="4"/>
      <c r="V7" s="4" t="s">
        <v>98</v>
      </c>
      <c r="W7" s="4" t="s">
        <v>61</v>
      </c>
      <c r="X7" s="4" t="s">
        <v>99</v>
      </c>
      <c r="Y7" s="9" t="s">
        <v>100</v>
      </c>
      <c r="Z7" s="9" t="s">
        <v>101</v>
      </c>
      <c r="AA7" s="4"/>
      <c r="AB7" s="4"/>
      <c r="AC7" s="4"/>
      <c r="AD7" s="4"/>
    </row>
    <row r="8" spans="1:30" ht="22.5" customHeight="1" x14ac:dyDescent="0.4">
      <c r="A8" s="6" t="s">
        <v>102</v>
      </c>
      <c r="B8" s="8">
        <v>45959</v>
      </c>
      <c r="C8" s="4" t="s">
        <v>38</v>
      </c>
      <c r="D8" s="4" t="s">
        <v>103</v>
      </c>
      <c r="E8" s="4" t="s">
        <v>104</v>
      </c>
      <c r="F8" s="4" t="s">
        <v>105</v>
      </c>
      <c r="G8" s="4" t="s">
        <v>106</v>
      </c>
      <c r="H8" s="4" t="s">
        <v>107</v>
      </c>
      <c r="I8" s="4" t="s">
        <v>108</v>
      </c>
      <c r="J8" s="4" t="s">
        <v>109</v>
      </c>
      <c r="K8" s="4" t="s">
        <v>110</v>
      </c>
      <c r="L8" s="4" t="s">
        <v>111</v>
      </c>
      <c r="M8" s="4"/>
      <c r="N8" s="4" t="s">
        <v>112</v>
      </c>
      <c r="O8" s="4" t="s">
        <v>113</v>
      </c>
      <c r="P8" s="4" t="s">
        <v>114</v>
      </c>
      <c r="Q8" s="4" t="s">
        <v>115</v>
      </c>
      <c r="R8" s="10">
        <v>0.30416666666666664</v>
      </c>
      <c r="S8" s="4" t="s">
        <v>116</v>
      </c>
      <c r="T8" s="4" t="s">
        <v>117</v>
      </c>
      <c r="U8" s="4"/>
      <c r="V8" s="4" t="s">
        <v>118</v>
      </c>
      <c r="W8" s="4" t="s">
        <v>61</v>
      </c>
      <c r="X8" s="4" t="s">
        <v>119</v>
      </c>
      <c r="Y8" s="9" t="s">
        <v>120</v>
      </c>
      <c r="Z8" s="9" t="s">
        <v>121</v>
      </c>
      <c r="AA8" s="11" t="s">
        <v>122</v>
      </c>
      <c r="AB8" s="4"/>
      <c r="AC8" s="4"/>
      <c r="AD8" s="4"/>
    </row>
    <row r="9" spans="1:30" ht="22.5" customHeight="1" x14ac:dyDescent="0.4">
      <c r="A9" s="6" t="s">
        <v>123</v>
      </c>
      <c r="B9" s="8">
        <v>45965</v>
      </c>
      <c r="C9" s="4" t="s">
        <v>38</v>
      </c>
      <c r="D9" s="4" t="s">
        <v>124</v>
      </c>
      <c r="E9" s="4" t="s">
        <v>125</v>
      </c>
      <c r="F9" s="4" t="s">
        <v>126</v>
      </c>
      <c r="G9" s="4" t="s">
        <v>127</v>
      </c>
      <c r="H9" s="4" t="s">
        <v>128</v>
      </c>
      <c r="I9" s="4" t="s">
        <v>129</v>
      </c>
      <c r="J9" s="4" t="s">
        <v>130</v>
      </c>
      <c r="K9" s="4" t="s">
        <v>131</v>
      </c>
      <c r="L9" s="4" t="s">
        <v>132</v>
      </c>
      <c r="M9" s="4" t="s">
        <v>133</v>
      </c>
      <c r="N9" s="4" t="s">
        <v>134</v>
      </c>
      <c r="O9" s="4" t="s">
        <v>135</v>
      </c>
      <c r="P9" s="4" t="s">
        <v>136</v>
      </c>
      <c r="Q9" s="4" t="s">
        <v>115</v>
      </c>
      <c r="R9" s="10">
        <v>0.29583333333333334</v>
      </c>
      <c r="S9" s="4" t="s">
        <v>137</v>
      </c>
      <c r="T9" s="4" t="s">
        <v>33</v>
      </c>
      <c r="U9" s="4" t="s">
        <v>138</v>
      </c>
      <c r="V9" s="4" t="s">
        <v>139</v>
      </c>
      <c r="W9" s="4" t="s">
        <v>61</v>
      </c>
      <c r="X9" s="4" t="s">
        <v>140</v>
      </c>
      <c r="Y9" s="9" t="s">
        <v>141</v>
      </c>
      <c r="Z9" s="9" t="s">
        <v>101</v>
      </c>
      <c r="AA9" s="11" t="s">
        <v>142</v>
      </c>
      <c r="AB9" s="4" t="s">
        <v>143</v>
      </c>
      <c r="AC9" s="4"/>
      <c r="AD9" s="4"/>
    </row>
    <row r="10" spans="1:30" ht="22.5" customHeight="1" x14ac:dyDescent="0.4">
      <c r="A10" s="5" t="s">
        <v>144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AA10" s="4"/>
      <c r="AB10" s="4"/>
      <c r="AC10" s="4"/>
      <c r="AD10" s="4"/>
    </row>
    <row r="11" spans="1:30" ht="22.5" customHeight="1" x14ac:dyDescent="0.4">
      <c r="A11" s="6" t="s">
        <v>145</v>
      </c>
      <c r="B11" s="8">
        <f>DATE(2025,3,21)</f>
        <v>45737</v>
      </c>
      <c r="C11" s="4" t="s">
        <v>30</v>
      </c>
      <c r="D11" s="4" t="s">
        <v>146</v>
      </c>
      <c r="E11" s="4" t="s">
        <v>147</v>
      </c>
      <c r="F11" s="4"/>
      <c r="G11" s="4"/>
      <c r="H11" s="4"/>
      <c r="I11" s="4" t="s">
        <v>148</v>
      </c>
      <c r="J11" s="4" t="s">
        <v>149</v>
      </c>
      <c r="K11" s="4" t="s">
        <v>150</v>
      </c>
      <c r="L11" s="4"/>
      <c r="M11" s="4"/>
      <c r="N11" s="4" t="s">
        <v>151</v>
      </c>
      <c r="O11" s="4" t="s">
        <v>152</v>
      </c>
      <c r="P11" s="4" t="s">
        <v>153</v>
      </c>
      <c r="Q11" s="4"/>
      <c r="R11" s="4"/>
      <c r="S11" s="4"/>
      <c r="T11" s="4"/>
      <c r="U11" s="4"/>
      <c r="V11" s="4"/>
      <c r="W11" s="4"/>
      <c r="X11" s="4"/>
      <c r="Y11" s="9" t="s">
        <v>154</v>
      </c>
      <c r="AA11" s="4"/>
      <c r="AB11" s="4"/>
      <c r="AC11" s="4"/>
      <c r="AD11" s="4"/>
    </row>
    <row r="12" spans="1:30" ht="22.5" customHeight="1" x14ac:dyDescent="0.4">
      <c r="A12" s="6" t="s">
        <v>155</v>
      </c>
      <c r="B12" s="8">
        <f>DATE(2025,3,24)</f>
        <v>45740</v>
      </c>
      <c r="C12" s="4" t="s">
        <v>38</v>
      </c>
      <c r="D12" s="4" t="s">
        <v>156</v>
      </c>
      <c r="E12" s="4" t="s">
        <v>157</v>
      </c>
      <c r="F12" s="4"/>
      <c r="G12" s="4" t="s">
        <v>158</v>
      </c>
      <c r="H12" s="4" t="s">
        <v>159</v>
      </c>
      <c r="I12" s="4" t="s">
        <v>160</v>
      </c>
      <c r="J12" s="12"/>
      <c r="K12" s="4"/>
      <c r="L12" s="4"/>
      <c r="M12" s="4"/>
      <c r="N12" s="4" t="s">
        <v>161</v>
      </c>
      <c r="O12" s="4" t="s">
        <v>162</v>
      </c>
      <c r="P12" s="4"/>
      <c r="Q12" s="4"/>
      <c r="R12" s="10">
        <v>0.27152777777777776</v>
      </c>
      <c r="S12" s="4"/>
      <c r="T12" s="4"/>
      <c r="U12" s="4"/>
      <c r="V12" s="4"/>
      <c r="W12" s="4" t="s">
        <v>163</v>
      </c>
      <c r="X12" s="4"/>
      <c r="AA12" s="4"/>
      <c r="AB12" s="4"/>
      <c r="AC12" s="4"/>
      <c r="AD12" s="4"/>
    </row>
    <row r="13" spans="1:30" ht="22.5" customHeight="1" x14ac:dyDescent="0.4">
      <c r="A13" s="6" t="s">
        <v>164</v>
      </c>
      <c r="B13" s="8">
        <f>DATE(2025,9,7)</f>
        <v>45907</v>
      </c>
      <c r="C13" s="4" t="s">
        <v>30</v>
      </c>
      <c r="D13" s="4" t="s">
        <v>165</v>
      </c>
      <c r="E13" s="4"/>
      <c r="F13" s="4"/>
      <c r="G13" s="4"/>
      <c r="H13" s="4"/>
      <c r="I13" s="4"/>
      <c r="J13" s="12"/>
      <c r="K13" s="4"/>
      <c r="L13" s="4"/>
      <c r="M13" s="4"/>
      <c r="N13" s="4" t="s">
        <v>166</v>
      </c>
      <c r="O13" s="4" t="s">
        <v>167</v>
      </c>
      <c r="P13" s="4"/>
      <c r="Q13" s="4"/>
      <c r="R13" s="10"/>
      <c r="S13" s="4"/>
      <c r="T13" s="4"/>
      <c r="U13" s="4"/>
      <c r="V13" s="4"/>
      <c r="W13" s="4" t="s">
        <v>163</v>
      </c>
      <c r="X13" s="4" t="s">
        <v>168</v>
      </c>
      <c r="Y13" s="9"/>
      <c r="Z13" s="9"/>
      <c r="AA13" s="4"/>
      <c r="AB13" s="4"/>
      <c r="AC13" s="4"/>
      <c r="AD13" s="4"/>
    </row>
    <row r="14" spans="1:30" ht="22.5" customHeight="1" x14ac:dyDescent="0.4">
      <c r="A14" s="13" t="s">
        <v>169</v>
      </c>
      <c r="B14" s="14">
        <f>DATE(2025,9,10)</f>
        <v>45910</v>
      </c>
      <c r="C14" s="15" t="s">
        <v>38</v>
      </c>
      <c r="D14" s="16"/>
      <c r="E14" s="16"/>
      <c r="F14" s="16"/>
      <c r="G14" s="16"/>
      <c r="H14" s="17" t="s">
        <v>170</v>
      </c>
      <c r="I14" s="17" t="s">
        <v>171</v>
      </c>
      <c r="J14" s="18"/>
      <c r="K14" s="16"/>
      <c r="L14" s="16"/>
      <c r="M14" s="16"/>
      <c r="N14" s="17" t="s">
        <v>172</v>
      </c>
      <c r="O14" s="17" t="s">
        <v>173</v>
      </c>
      <c r="P14" s="17" t="s">
        <v>174</v>
      </c>
      <c r="Q14" s="16"/>
      <c r="R14" s="19"/>
      <c r="S14" s="16"/>
      <c r="T14" s="16"/>
      <c r="U14" s="16"/>
      <c r="V14" s="17" t="s">
        <v>175</v>
      </c>
      <c r="W14" s="17" t="s">
        <v>163</v>
      </c>
      <c r="X14" s="20">
        <v>3300</v>
      </c>
      <c r="Y14" s="21"/>
      <c r="Z14" s="21"/>
      <c r="AA14" s="16"/>
      <c r="AB14" s="22"/>
      <c r="AC14" s="4"/>
      <c r="AD14" s="4"/>
    </row>
    <row r="15" spans="1:30" ht="22.5" customHeight="1" x14ac:dyDescent="0.4">
      <c r="A15" s="23" t="s">
        <v>176</v>
      </c>
      <c r="B15" s="24">
        <v>45964</v>
      </c>
      <c r="C15" s="25" t="s">
        <v>38</v>
      </c>
      <c r="D15" s="26" t="s">
        <v>177</v>
      </c>
      <c r="E15" s="26" t="s">
        <v>178</v>
      </c>
      <c r="F15" s="27"/>
      <c r="G15" s="26" t="s">
        <v>179</v>
      </c>
      <c r="H15" s="26" t="s">
        <v>180</v>
      </c>
      <c r="I15" s="27"/>
      <c r="J15" s="28"/>
      <c r="K15" s="27"/>
      <c r="L15" s="27"/>
      <c r="M15" s="27"/>
      <c r="N15" s="26" t="s">
        <v>181</v>
      </c>
      <c r="O15" s="26" t="s">
        <v>182</v>
      </c>
      <c r="P15" s="26" t="s">
        <v>183</v>
      </c>
      <c r="Q15" s="27"/>
      <c r="R15" s="29">
        <v>0.36388888888888887</v>
      </c>
      <c r="S15" s="27"/>
      <c r="T15" s="27"/>
      <c r="U15" s="27"/>
      <c r="V15" s="26" t="s">
        <v>184</v>
      </c>
      <c r="W15" s="26" t="s">
        <v>185</v>
      </c>
      <c r="X15" s="26" t="s">
        <v>186</v>
      </c>
      <c r="Y15" s="30"/>
      <c r="Z15" s="30"/>
      <c r="AA15" s="27"/>
      <c r="AB15" s="31"/>
      <c r="AC15" s="4"/>
      <c r="AD15" s="4"/>
    </row>
    <row r="16" spans="1:30" ht="22.5" customHeight="1" x14ac:dyDescent="0.4">
      <c r="A16" s="13" t="s">
        <v>187</v>
      </c>
      <c r="B16" s="14">
        <v>45970</v>
      </c>
      <c r="C16" s="32" t="s">
        <v>30</v>
      </c>
      <c r="D16" s="16"/>
      <c r="E16" s="17" t="s">
        <v>188</v>
      </c>
      <c r="F16" s="16"/>
      <c r="G16" s="16"/>
      <c r="H16" s="16"/>
      <c r="I16" s="16"/>
      <c r="J16" s="18"/>
      <c r="K16" s="16"/>
      <c r="L16" s="16"/>
      <c r="M16" s="16"/>
      <c r="N16" s="16"/>
      <c r="O16" s="16"/>
      <c r="P16" s="16"/>
      <c r="Q16" s="16"/>
      <c r="R16" s="19"/>
      <c r="S16" s="16"/>
      <c r="T16" s="16"/>
      <c r="U16" s="16"/>
      <c r="V16" s="16"/>
      <c r="W16" s="16"/>
      <c r="X16" s="16"/>
      <c r="Y16" s="21"/>
      <c r="Z16" s="21"/>
      <c r="AA16" s="16"/>
      <c r="AB16" s="22"/>
      <c r="AC16" s="4"/>
      <c r="AD16" s="4"/>
    </row>
    <row r="17" spans="1:30" ht="22.5" customHeight="1" x14ac:dyDescent="0.4">
      <c r="A17" s="23" t="s">
        <v>189</v>
      </c>
      <c r="B17" s="24">
        <v>45977</v>
      </c>
      <c r="C17" s="33" t="s">
        <v>30</v>
      </c>
      <c r="D17" s="27"/>
      <c r="E17" s="26" t="s">
        <v>190</v>
      </c>
      <c r="F17" s="27"/>
      <c r="G17" s="26" t="s">
        <v>191</v>
      </c>
      <c r="H17" s="27"/>
      <c r="I17" s="27"/>
      <c r="J17" s="28"/>
      <c r="K17" s="27"/>
      <c r="L17" s="27"/>
      <c r="M17" s="27"/>
      <c r="N17" s="27"/>
      <c r="O17" s="27"/>
      <c r="P17" s="27"/>
      <c r="Q17" s="27"/>
      <c r="R17" s="34"/>
      <c r="S17" s="27"/>
      <c r="T17" s="27"/>
      <c r="U17" s="27"/>
      <c r="V17" s="27"/>
      <c r="W17" s="27"/>
      <c r="X17" s="27"/>
      <c r="Y17" s="30"/>
      <c r="Z17" s="30"/>
      <c r="AA17" s="27"/>
      <c r="AB17" s="31"/>
      <c r="AC17" s="4"/>
      <c r="AD17" s="4"/>
    </row>
    <row r="18" spans="1:30" ht="22.5" customHeight="1" x14ac:dyDescent="0.4">
      <c r="A18" s="35" t="s">
        <v>192</v>
      </c>
      <c r="B18" s="36">
        <v>45984</v>
      </c>
      <c r="C18" s="37" t="s">
        <v>38</v>
      </c>
      <c r="D18" s="38" t="s">
        <v>193</v>
      </c>
      <c r="E18" s="38" t="s">
        <v>194</v>
      </c>
      <c r="F18" s="39"/>
      <c r="G18" s="38" t="s">
        <v>195</v>
      </c>
      <c r="H18" s="38" t="s">
        <v>196</v>
      </c>
      <c r="I18" s="39"/>
      <c r="J18" s="40"/>
      <c r="K18" s="39"/>
      <c r="L18" s="39"/>
      <c r="M18" s="39"/>
      <c r="N18" s="38" t="s">
        <v>197</v>
      </c>
      <c r="O18" s="38" t="s">
        <v>198</v>
      </c>
      <c r="P18" s="38" t="s">
        <v>199</v>
      </c>
      <c r="Q18" s="39"/>
      <c r="R18" s="41">
        <v>0.55208333333333337</v>
      </c>
      <c r="S18" s="39"/>
      <c r="T18" s="39"/>
      <c r="U18" s="39"/>
      <c r="V18" s="39"/>
      <c r="W18" s="38" t="s">
        <v>185</v>
      </c>
      <c r="X18" s="39"/>
      <c r="Y18" s="42"/>
      <c r="Z18" s="42"/>
      <c r="AA18" s="39"/>
      <c r="AB18" s="43"/>
      <c r="AC18" s="4"/>
      <c r="AD18" s="4"/>
    </row>
    <row r="19" spans="1:30" ht="12.75" x14ac:dyDescent="0.35">
      <c r="A19" s="4"/>
    </row>
    <row r="20" spans="1:30" ht="12.75" x14ac:dyDescent="0.35">
      <c r="A20" s="4"/>
    </row>
    <row r="21" spans="1:30" ht="12.75" x14ac:dyDescent="0.35">
      <c r="A21" s="4"/>
    </row>
    <row r="22" spans="1:30" ht="12.75" x14ac:dyDescent="0.35">
      <c r="A22" s="4"/>
    </row>
    <row r="23" spans="1:30" ht="12.75" x14ac:dyDescent="0.35">
      <c r="A23" s="4"/>
    </row>
    <row r="24" spans="1:30" ht="12.75" x14ac:dyDescent="0.35">
      <c r="A24" s="4"/>
    </row>
    <row r="25" spans="1:30" ht="12.75" x14ac:dyDescent="0.35">
      <c r="A25" s="4"/>
    </row>
    <row r="26" spans="1:30" ht="12.75" x14ac:dyDescent="0.35">
      <c r="A26" s="4"/>
    </row>
    <row r="27" spans="1:30" ht="12.75" x14ac:dyDescent="0.35">
      <c r="A27" s="4"/>
    </row>
    <row r="28" spans="1:30" ht="12.75" x14ac:dyDescent="0.35">
      <c r="A28" s="4"/>
    </row>
    <row r="29" spans="1:30" ht="12.75" x14ac:dyDescent="0.35">
      <c r="A29" s="4"/>
    </row>
    <row r="30" spans="1:30" ht="12.75" x14ac:dyDescent="0.35">
      <c r="A30" s="4"/>
    </row>
    <row r="31" spans="1:30" ht="12.75" x14ac:dyDescent="0.35">
      <c r="A31" s="4"/>
    </row>
    <row r="32" spans="1:30" ht="12.75" x14ac:dyDescent="0.35">
      <c r="A32" s="4"/>
    </row>
    <row r="33" spans="1:1" ht="12.75" x14ac:dyDescent="0.35">
      <c r="A33" s="4"/>
    </row>
    <row r="34" spans="1:1" ht="12.75" x14ac:dyDescent="0.35">
      <c r="A34" s="4"/>
    </row>
    <row r="35" spans="1:1" ht="12.75" x14ac:dyDescent="0.35">
      <c r="A35" s="4"/>
    </row>
    <row r="36" spans="1:1" ht="12.75" x14ac:dyDescent="0.35">
      <c r="A36" s="4"/>
    </row>
    <row r="37" spans="1:1" ht="12.75" x14ac:dyDescent="0.35">
      <c r="A37" s="4"/>
    </row>
    <row r="38" spans="1:1" ht="12.75" x14ac:dyDescent="0.35">
      <c r="A38" s="4"/>
    </row>
    <row r="39" spans="1:1" ht="12.75" x14ac:dyDescent="0.35">
      <c r="A39" s="4"/>
    </row>
    <row r="40" spans="1:1" ht="12.75" x14ac:dyDescent="0.35">
      <c r="A40" s="4"/>
    </row>
    <row r="41" spans="1:1" ht="12.75" x14ac:dyDescent="0.35">
      <c r="A41" s="4"/>
    </row>
    <row r="42" spans="1:1" ht="12.75" x14ac:dyDescent="0.35">
      <c r="A42" s="4"/>
    </row>
    <row r="43" spans="1:1" ht="12.75" x14ac:dyDescent="0.35">
      <c r="A43" s="4"/>
    </row>
    <row r="44" spans="1:1" ht="12.75" x14ac:dyDescent="0.35">
      <c r="A44" s="4"/>
    </row>
    <row r="45" spans="1:1" ht="12.75" x14ac:dyDescent="0.35">
      <c r="A45" s="4"/>
    </row>
    <row r="46" spans="1:1" ht="12.75" x14ac:dyDescent="0.35">
      <c r="A46" s="4"/>
    </row>
    <row r="47" spans="1:1" ht="12.75" x14ac:dyDescent="0.35">
      <c r="A47" s="4"/>
    </row>
    <row r="48" spans="1:1" ht="12.75" x14ac:dyDescent="0.35">
      <c r="A48" s="4"/>
    </row>
    <row r="49" spans="1:1" ht="12.75" x14ac:dyDescent="0.35">
      <c r="A49" s="4"/>
    </row>
    <row r="50" spans="1:1" ht="12.75" x14ac:dyDescent="0.35">
      <c r="A50" s="4"/>
    </row>
    <row r="51" spans="1:1" ht="12.75" x14ac:dyDescent="0.35">
      <c r="A51" s="4"/>
    </row>
    <row r="52" spans="1:1" ht="12.75" x14ac:dyDescent="0.35">
      <c r="A52" s="4"/>
    </row>
    <row r="53" spans="1:1" ht="12.75" x14ac:dyDescent="0.35">
      <c r="A53" s="4"/>
    </row>
    <row r="54" spans="1:1" ht="12.75" x14ac:dyDescent="0.35">
      <c r="A54" s="4"/>
    </row>
    <row r="55" spans="1:1" ht="12.75" x14ac:dyDescent="0.35">
      <c r="A55" s="4"/>
    </row>
    <row r="56" spans="1:1" ht="12.75" x14ac:dyDescent="0.35">
      <c r="A56" s="4"/>
    </row>
    <row r="57" spans="1:1" ht="12.75" x14ac:dyDescent="0.35">
      <c r="A57" s="4"/>
    </row>
    <row r="58" spans="1:1" ht="12.75" x14ac:dyDescent="0.35">
      <c r="A58" s="4"/>
    </row>
    <row r="59" spans="1:1" ht="12.75" x14ac:dyDescent="0.35">
      <c r="A59" s="4"/>
    </row>
    <row r="60" spans="1:1" ht="12.75" x14ac:dyDescent="0.35">
      <c r="A60" s="4"/>
    </row>
    <row r="61" spans="1:1" ht="12.75" x14ac:dyDescent="0.35">
      <c r="A61" s="4"/>
    </row>
    <row r="62" spans="1:1" ht="12.75" x14ac:dyDescent="0.35">
      <c r="A62" s="4"/>
    </row>
    <row r="63" spans="1:1" ht="12.75" x14ac:dyDescent="0.35">
      <c r="A63" s="4"/>
    </row>
    <row r="64" spans="1:1" ht="12.75" x14ac:dyDescent="0.35">
      <c r="A64" s="4"/>
    </row>
    <row r="65" spans="1:1" ht="12.75" x14ac:dyDescent="0.35">
      <c r="A65" s="4"/>
    </row>
    <row r="66" spans="1:1" ht="12.75" x14ac:dyDescent="0.35">
      <c r="A66" s="4"/>
    </row>
    <row r="67" spans="1:1" ht="12.75" x14ac:dyDescent="0.35">
      <c r="A67" s="4"/>
    </row>
    <row r="68" spans="1:1" ht="12.75" x14ac:dyDescent="0.35">
      <c r="A68" s="4"/>
    </row>
    <row r="69" spans="1:1" ht="12.75" x14ac:dyDescent="0.35">
      <c r="A69" s="4"/>
    </row>
    <row r="70" spans="1:1" ht="12.75" x14ac:dyDescent="0.35">
      <c r="A70" s="4"/>
    </row>
    <row r="71" spans="1:1" ht="12.75" x14ac:dyDescent="0.35">
      <c r="A71" s="4"/>
    </row>
    <row r="72" spans="1:1" ht="12.75" x14ac:dyDescent="0.35">
      <c r="A72" s="4"/>
    </row>
    <row r="73" spans="1:1" ht="12.75" x14ac:dyDescent="0.35">
      <c r="A73" s="4"/>
    </row>
    <row r="74" spans="1:1" ht="12.75" x14ac:dyDescent="0.35">
      <c r="A74" s="4"/>
    </row>
    <row r="75" spans="1:1" ht="12.75" x14ac:dyDescent="0.35">
      <c r="A75" s="4"/>
    </row>
    <row r="76" spans="1:1" ht="12.75" x14ac:dyDescent="0.35">
      <c r="A76" s="4"/>
    </row>
    <row r="77" spans="1:1" ht="12.75" x14ac:dyDescent="0.35">
      <c r="A77" s="4"/>
    </row>
    <row r="78" spans="1:1" ht="12.75" x14ac:dyDescent="0.35">
      <c r="A78" s="4"/>
    </row>
    <row r="79" spans="1:1" ht="12.75" x14ac:dyDescent="0.35">
      <c r="A79" s="4"/>
    </row>
    <row r="80" spans="1:1" ht="12.75" x14ac:dyDescent="0.35">
      <c r="A80" s="4"/>
    </row>
    <row r="81" spans="1:1" ht="12.75" x14ac:dyDescent="0.35">
      <c r="A81" s="4"/>
    </row>
    <row r="82" spans="1:1" ht="12.75" x14ac:dyDescent="0.35">
      <c r="A82" s="4"/>
    </row>
    <row r="83" spans="1:1" ht="12.75" x14ac:dyDescent="0.35">
      <c r="A83" s="4"/>
    </row>
    <row r="84" spans="1:1" ht="12.75" x14ac:dyDescent="0.35">
      <c r="A84" s="4"/>
    </row>
    <row r="85" spans="1:1" ht="12.75" x14ac:dyDescent="0.35">
      <c r="A85" s="4"/>
    </row>
    <row r="86" spans="1:1" ht="12.75" x14ac:dyDescent="0.35">
      <c r="A86" s="4"/>
    </row>
    <row r="87" spans="1:1" ht="12.75" x14ac:dyDescent="0.35">
      <c r="A87" s="4"/>
    </row>
    <row r="88" spans="1:1" ht="12.75" x14ac:dyDescent="0.35">
      <c r="A88" s="4"/>
    </row>
    <row r="89" spans="1:1" ht="12.75" x14ac:dyDescent="0.35">
      <c r="A89" s="4"/>
    </row>
    <row r="90" spans="1:1" ht="12.75" x14ac:dyDescent="0.35">
      <c r="A90" s="4"/>
    </row>
    <row r="91" spans="1:1" ht="12.75" x14ac:dyDescent="0.35">
      <c r="A91" s="4"/>
    </row>
    <row r="92" spans="1:1" ht="12.75" x14ac:dyDescent="0.35">
      <c r="A92" s="4"/>
    </row>
    <row r="93" spans="1:1" ht="12.75" x14ac:dyDescent="0.35">
      <c r="A93" s="4"/>
    </row>
    <row r="94" spans="1:1" ht="12.75" x14ac:dyDescent="0.35">
      <c r="A94" s="4"/>
    </row>
    <row r="95" spans="1:1" ht="12.75" x14ac:dyDescent="0.35">
      <c r="A95" s="4"/>
    </row>
    <row r="96" spans="1:1" ht="12.75" x14ac:dyDescent="0.35">
      <c r="A96" s="4"/>
    </row>
    <row r="97" spans="1:1" ht="12.75" x14ac:dyDescent="0.35">
      <c r="A97" s="4"/>
    </row>
    <row r="98" spans="1:1" ht="12.75" x14ac:dyDescent="0.35">
      <c r="A98" s="4"/>
    </row>
    <row r="99" spans="1:1" ht="12.75" x14ac:dyDescent="0.35">
      <c r="A99" s="4"/>
    </row>
    <row r="100" spans="1:1" ht="12.75" x14ac:dyDescent="0.35">
      <c r="A100" s="4"/>
    </row>
    <row r="101" spans="1:1" ht="12.75" x14ac:dyDescent="0.35">
      <c r="A101" s="4"/>
    </row>
    <row r="102" spans="1:1" ht="12.75" x14ac:dyDescent="0.35">
      <c r="A102" s="4"/>
    </row>
    <row r="103" spans="1:1" ht="12.75" x14ac:dyDescent="0.35">
      <c r="A103" s="4"/>
    </row>
    <row r="104" spans="1:1" ht="12.75" x14ac:dyDescent="0.35">
      <c r="A104" s="4"/>
    </row>
    <row r="105" spans="1:1" ht="12.75" x14ac:dyDescent="0.35">
      <c r="A105" s="4"/>
    </row>
    <row r="106" spans="1:1" ht="12.75" x14ac:dyDescent="0.35">
      <c r="A106" s="4"/>
    </row>
    <row r="107" spans="1:1" ht="12.75" x14ac:dyDescent="0.35">
      <c r="A107" s="4"/>
    </row>
    <row r="108" spans="1:1" ht="12.75" x14ac:dyDescent="0.35">
      <c r="A108" s="4"/>
    </row>
    <row r="109" spans="1:1" ht="12.75" x14ac:dyDescent="0.35">
      <c r="A109" s="4"/>
    </row>
    <row r="110" spans="1:1" ht="12.75" x14ac:dyDescent="0.35">
      <c r="A110" s="4"/>
    </row>
    <row r="111" spans="1:1" ht="12.75" x14ac:dyDescent="0.35">
      <c r="A111" s="4"/>
    </row>
    <row r="112" spans="1:1" ht="12.75" x14ac:dyDescent="0.35">
      <c r="A112" s="4"/>
    </row>
    <row r="113" spans="1:1" ht="12.75" x14ac:dyDescent="0.35">
      <c r="A113" s="4"/>
    </row>
    <row r="114" spans="1:1" ht="12.75" x14ac:dyDescent="0.35">
      <c r="A114" s="4"/>
    </row>
    <row r="115" spans="1:1" ht="12.75" x14ac:dyDescent="0.35">
      <c r="A115" s="4"/>
    </row>
    <row r="116" spans="1:1" ht="12.75" x14ac:dyDescent="0.35">
      <c r="A116" s="4"/>
    </row>
    <row r="117" spans="1:1" ht="12.75" x14ac:dyDescent="0.35">
      <c r="A117" s="4"/>
    </row>
    <row r="118" spans="1:1" ht="12.75" x14ac:dyDescent="0.35">
      <c r="A118" s="4"/>
    </row>
    <row r="119" spans="1:1" ht="12.75" x14ac:dyDescent="0.35">
      <c r="A119" s="4"/>
    </row>
    <row r="120" spans="1:1" ht="12.75" x14ac:dyDescent="0.35">
      <c r="A120" s="4"/>
    </row>
    <row r="121" spans="1:1" ht="12.75" x14ac:dyDescent="0.35">
      <c r="A121" s="4"/>
    </row>
    <row r="122" spans="1:1" ht="12.75" x14ac:dyDescent="0.35">
      <c r="A122" s="4"/>
    </row>
    <row r="123" spans="1:1" ht="12.75" x14ac:dyDescent="0.35">
      <c r="A123" s="4"/>
    </row>
    <row r="124" spans="1:1" ht="12.75" x14ac:dyDescent="0.35">
      <c r="A124" s="4"/>
    </row>
    <row r="125" spans="1:1" ht="12.75" x14ac:dyDescent="0.35">
      <c r="A125" s="4"/>
    </row>
    <row r="126" spans="1:1" ht="12.75" x14ac:dyDescent="0.35">
      <c r="A126" s="4"/>
    </row>
    <row r="127" spans="1:1" ht="12.75" x14ac:dyDescent="0.35">
      <c r="A127" s="4"/>
    </row>
    <row r="128" spans="1:1" ht="12.75" x14ac:dyDescent="0.35">
      <c r="A128" s="4"/>
    </row>
    <row r="129" spans="1:1" ht="12.75" x14ac:dyDescent="0.35">
      <c r="A129" s="4"/>
    </row>
    <row r="130" spans="1:1" ht="12.75" x14ac:dyDescent="0.35">
      <c r="A130" s="4"/>
    </row>
    <row r="131" spans="1:1" ht="12.75" x14ac:dyDescent="0.35">
      <c r="A131" s="4"/>
    </row>
    <row r="132" spans="1:1" ht="12.75" x14ac:dyDescent="0.35">
      <c r="A132" s="4"/>
    </row>
    <row r="133" spans="1:1" ht="12.75" x14ac:dyDescent="0.35">
      <c r="A133" s="4"/>
    </row>
    <row r="134" spans="1:1" ht="12.75" x14ac:dyDescent="0.35">
      <c r="A134" s="4"/>
    </row>
    <row r="135" spans="1:1" ht="12.75" x14ac:dyDescent="0.35">
      <c r="A135" s="4"/>
    </row>
    <row r="136" spans="1:1" ht="12.75" x14ac:dyDescent="0.35">
      <c r="A136" s="4"/>
    </row>
    <row r="137" spans="1:1" ht="12.75" x14ac:dyDescent="0.35">
      <c r="A137" s="4"/>
    </row>
    <row r="138" spans="1:1" ht="12.75" x14ac:dyDescent="0.35">
      <c r="A138" s="4"/>
    </row>
    <row r="139" spans="1:1" ht="12.75" x14ac:dyDescent="0.35">
      <c r="A139" s="4"/>
    </row>
    <row r="140" spans="1:1" ht="12.75" x14ac:dyDescent="0.35">
      <c r="A140" s="4"/>
    </row>
    <row r="141" spans="1:1" ht="12.75" x14ac:dyDescent="0.35">
      <c r="A141" s="4"/>
    </row>
    <row r="142" spans="1:1" ht="12.75" x14ac:dyDescent="0.35">
      <c r="A142" s="4"/>
    </row>
    <row r="143" spans="1:1" ht="12.75" x14ac:dyDescent="0.35">
      <c r="A143" s="4"/>
    </row>
    <row r="144" spans="1:1" ht="12.75" x14ac:dyDescent="0.35">
      <c r="A144" s="4"/>
    </row>
    <row r="145" spans="1:1" ht="12.75" x14ac:dyDescent="0.35">
      <c r="A145" s="4"/>
    </row>
    <row r="146" spans="1:1" ht="12.75" x14ac:dyDescent="0.35">
      <c r="A146" s="4"/>
    </row>
    <row r="147" spans="1:1" ht="12.75" x14ac:dyDescent="0.35">
      <c r="A147" s="4"/>
    </row>
    <row r="148" spans="1:1" ht="12.75" x14ac:dyDescent="0.35">
      <c r="A148" s="4"/>
    </row>
    <row r="149" spans="1:1" ht="12.75" x14ac:dyDescent="0.35">
      <c r="A149" s="4"/>
    </row>
    <row r="150" spans="1:1" ht="12.75" x14ac:dyDescent="0.35">
      <c r="A150" s="4"/>
    </row>
    <row r="151" spans="1:1" ht="12.75" x14ac:dyDescent="0.35">
      <c r="A151" s="4"/>
    </row>
    <row r="152" spans="1:1" ht="12.75" x14ac:dyDescent="0.35">
      <c r="A152" s="4"/>
    </row>
    <row r="153" spans="1:1" ht="12.75" x14ac:dyDescent="0.35">
      <c r="A153" s="4"/>
    </row>
    <row r="154" spans="1:1" ht="12.75" x14ac:dyDescent="0.35">
      <c r="A154" s="4"/>
    </row>
    <row r="155" spans="1:1" ht="12.75" x14ac:dyDescent="0.35">
      <c r="A155" s="4"/>
    </row>
    <row r="156" spans="1:1" ht="12.75" x14ac:dyDescent="0.35">
      <c r="A156" s="4"/>
    </row>
    <row r="157" spans="1:1" ht="12.75" x14ac:dyDescent="0.35">
      <c r="A157" s="4"/>
    </row>
    <row r="158" spans="1:1" ht="12.75" x14ac:dyDescent="0.35">
      <c r="A158" s="4"/>
    </row>
    <row r="159" spans="1:1" ht="12.75" x14ac:dyDescent="0.35">
      <c r="A159" s="4"/>
    </row>
    <row r="160" spans="1:1" ht="12.75" x14ac:dyDescent="0.35">
      <c r="A160" s="4"/>
    </row>
    <row r="161" spans="1:1" ht="12.75" x14ac:dyDescent="0.35">
      <c r="A161" s="4"/>
    </row>
    <row r="162" spans="1:1" ht="12.75" x14ac:dyDescent="0.35">
      <c r="A162" s="4"/>
    </row>
    <row r="163" spans="1:1" ht="12.75" x14ac:dyDescent="0.35">
      <c r="A163" s="4"/>
    </row>
    <row r="164" spans="1:1" ht="12.75" x14ac:dyDescent="0.35">
      <c r="A164" s="4"/>
    </row>
    <row r="165" spans="1:1" ht="12.75" x14ac:dyDescent="0.35">
      <c r="A165" s="4"/>
    </row>
    <row r="166" spans="1:1" ht="12.75" x14ac:dyDescent="0.35">
      <c r="A166" s="4"/>
    </row>
    <row r="167" spans="1:1" ht="12.75" x14ac:dyDescent="0.35">
      <c r="A167" s="4"/>
    </row>
    <row r="168" spans="1:1" ht="12.75" x14ac:dyDescent="0.35">
      <c r="A168" s="4"/>
    </row>
    <row r="169" spans="1:1" ht="12.75" x14ac:dyDescent="0.35">
      <c r="A169" s="4"/>
    </row>
    <row r="170" spans="1:1" ht="12.75" x14ac:dyDescent="0.35">
      <c r="A170" s="4"/>
    </row>
    <row r="171" spans="1:1" ht="12.75" x14ac:dyDescent="0.35">
      <c r="A171" s="4"/>
    </row>
    <row r="172" spans="1:1" ht="12.75" x14ac:dyDescent="0.35">
      <c r="A172" s="4"/>
    </row>
    <row r="173" spans="1:1" ht="12.75" x14ac:dyDescent="0.35">
      <c r="A173" s="4"/>
    </row>
    <row r="174" spans="1:1" ht="12.75" x14ac:dyDescent="0.35">
      <c r="A174" s="4"/>
    </row>
    <row r="175" spans="1:1" ht="12.75" x14ac:dyDescent="0.35">
      <c r="A175" s="4"/>
    </row>
    <row r="176" spans="1:1" ht="12.75" x14ac:dyDescent="0.35">
      <c r="A176" s="4"/>
    </row>
    <row r="177" spans="1:1" ht="12.75" x14ac:dyDescent="0.35">
      <c r="A177" s="4"/>
    </row>
    <row r="178" spans="1:1" ht="12.75" x14ac:dyDescent="0.35">
      <c r="A178" s="4"/>
    </row>
    <row r="179" spans="1:1" ht="12.75" x14ac:dyDescent="0.35">
      <c r="A179" s="4"/>
    </row>
    <row r="180" spans="1:1" ht="12.75" x14ac:dyDescent="0.35">
      <c r="A180" s="4"/>
    </row>
    <row r="181" spans="1:1" ht="12.75" x14ac:dyDescent="0.35">
      <c r="A181" s="4"/>
    </row>
    <row r="182" spans="1:1" ht="12.75" x14ac:dyDescent="0.35">
      <c r="A182" s="4"/>
    </row>
    <row r="183" spans="1:1" ht="12.75" x14ac:dyDescent="0.35">
      <c r="A183" s="4"/>
    </row>
    <row r="184" spans="1:1" ht="12.75" x14ac:dyDescent="0.35">
      <c r="A184" s="4"/>
    </row>
    <row r="185" spans="1:1" ht="12.75" x14ac:dyDescent="0.35">
      <c r="A185" s="4"/>
    </row>
    <row r="186" spans="1:1" ht="12.75" x14ac:dyDescent="0.35">
      <c r="A186" s="4"/>
    </row>
    <row r="187" spans="1:1" ht="12.75" x14ac:dyDescent="0.35">
      <c r="A187" s="4"/>
    </row>
    <row r="188" spans="1:1" ht="12.75" x14ac:dyDescent="0.35">
      <c r="A188" s="4"/>
    </row>
    <row r="189" spans="1:1" ht="12.75" x14ac:dyDescent="0.35">
      <c r="A189" s="4"/>
    </row>
    <row r="190" spans="1:1" ht="12.75" x14ac:dyDescent="0.35">
      <c r="A190" s="4"/>
    </row>
    <row r="191" spans="1:1" ht="12.75" x14ac:dyDescent="0.35">
      <c r="A191" s="4"/>
    </row>
    <row r="192" spans="1:1" ht="12.75" x14ac:dyDescent="0.35">
      <c r="A192" s="4"/>
    </row>
    <row r="193" spans="1:1" ht="12.75" x14ac:dyDescent="0.35">
      <c r="A193" s="4"/>
    </row>
    <row r="194" spans="1:1" ht="12.75" x14ac:dyDescent="0.35">
      <c r="A194" s="4"/>
    </row>
    <row r="195" spans="1:1" ht="12.75" x14ac:dyDescent="0.35">
      <c r="A195" s="4"/>
    </row>
    <row r="196" spans="1:1" ht="12.75" x14ac:dyDescent="0.35">
      <c r="A196" s="4"/>
    </row>
    <row r="197" spans="1:1" ht="12.75" x14ac:dyDescent="0.35">
      <c r="A197" s="4"/>
    </row>
    <row r="198" spans="1:1" ht="12.75" x14ac:dyDescent="0.35">
      <c r="A198" s="4"/>
    </row>
    <row r="199" spans="1:1" ht="12.75" x14ac:dyDescent="0.35">
      <c r="A199" s="4"/>
    </row>
    <row r="200" spans="1:1" ht="12.75" x14ac:dyDescent="0.35">
      <c r="A200" s="4"/>
    </row>
    <row r="201" spans="1:1" ht="12.75" x14ac:dyDescent="0.35">
      <c r="A201" s="4"/>
    </row>
    <row r="202" spans="1:1" ht="12.75" x14ac:dyDescent="0.35">
      <c r="A202" s="4"/>
    </row>
    <row r="203" spans="1:1" ht="12.75" x14ac:dyDescent="0.35">
      <c r="A203" s="4"/>
    </row>
    <row r="204" spans="1:1" ht="12.75" x14ac:dyDescent="0.35">
      <c r="A204" s="4"/>
    </row>
    <row r="205" spans="1:1" ht="12.75" x14ac:dyDescent="0.35">
      <c r="A205" s="4"/>
    </row>
    <row r="206" spans="1:1" ht="12.75" x14ac:dyDescent="0.35">
      <c r="A206" s="4"/>
    </row>
    <row r="207" spans="1:1" ht="12.75" x14ac:dyDescent="0.35">
      <c r="A207" s="4"/>
    </row>
    <row r="208" spans="1:1" ht="12.75" x14ac:dyDescent="0.35">
      <c r="A208" s="4"/>
    </row>
    <row r="209" spans="1:1" ht="12.75" x14ac:dyDescent="0.35">
      <c r="A209" s="4"/>
    </row>
    <row r="210" spans="1:1" ht="12.75" x14ac:dyDescent="0.35">
      <c r="A210" s="4"/>
    </row>
    <row r="211" spans="1:1" ht="12.75" x14ac:dyDescent="0.35">
      <c r="A211" s="4"/>
    </row>
    <row r="212" spans="1:1" ht="12.75" x14ac:dyDescent="0.35">
      <c r="A212" s="4"/>
    </row>
    <row r="213" spans="1:1" ht="12.75" x14ac:dyDescent="0.35">
      <c r="A213" s="4"/>
    </row>
    <row r="214" spans="1:1" ht="12.75" x14ac:dyDescent="0.35">
      <c r="A214" s="4"/>
    </row>
    <row r="215" spans="1:1" ht="12.75" x14ac:dyDescent="0.35">
      <c r="A215" s="4"/>
    </row>
    <row r="216" spans="1:1" ht="12.75" x14ac:dyDescent="0.35">
      <c r="A216" s="4"/>
    </row>
    <row r="217" spans="1:1" ht="12.75" x14ac:dyDescent="0.35">
      <c r="A217" s="4"/>
    </row>
    <row r="218" spans="1:1" ht="12.75" x14ac:dyDescent="0.35">
      <c r="A218" s="4"/>
    </row>
    <row r="219" spans="1:1" ht="12.75" x14ac:dyDescent="0.35">
      <c r="A219" s="4"/>
    </row>
    <row r="220" spans="1:1" ht="12.75" x14ac:dyDescent="0.35">
      <c r="A220" s="4"/>
    </row>
    <row r="221" spans="1:1" ht="12.75" x14ac:dyDescent="0.35">
      <c r="A221" s="4"/>
    </row>
    <row r="222" spans="1:1" ht="12.75" x14ac:dyDescent="0.35">
      <c r="A222" s="4"/>
    </row>
    <row r="223" spans="1:1" ht="12.75" x14ac:dyDescent="0.35">
      <c r="A223" s="4"/>
    </row>
    <row r="224" spans="1:1" ht="12.75" x14ac:dyDescent="0.35">
      <c r="A224" s="4"/>
    </row>
    <row r="225" spans="1:1" ht="12.75" x14ac:dyDescent="0.35">
      <c r="A225" s="4"/>
    </row>
    <row r="226" spans="1:1" ht="12.75" x14ac:dyDescent="0.35">
      <c r="A226" s="4"/>
    </row>
    <row r="227" spans="1:1" ht="12.75" x14ac:dyDescent="0.35">
      <c r="A227" s="4"/>
    </row>
    <row r="228" spans="1:1" ht="12.75" x14ac:dyDescent="0.35">
      <c r="A228" s="4"/>
    </row>
    <row r="229" spans="1:1" ht="12.75" x14ac:dyDescent="0.35">
      <c r="A229" s="4"/>
    </row>
    <row r="230" spans="1:1" ht="12.75" x14ac:dyDescent="0.35">
      <c r="A230" s="4"/>
    </row>
    <row r="231" spans="1:1" ht="12.75" x14ac:dyDescent="0.35">
      <c r="A231" s="4"/>
    </row>
    <row r="232" spans="1:1" ht="12.75" x14ac:dyDescent="0.35">
      <c r="A232" s="4"/>
    </row>
    <row r="233" spans="1:1" ht="12.75" x14ac:dyDescent="0.35">
      <c r="A233" s="4"/>
    </row>
    <row r="234" spans="1:1" ht="12.75" x14ac:dyDescent="0.35">
      <c r="A234" s="4"/>
    </row>
    <row r="235" spans="1:1" ht="12.75" x14ac:dyDescent="0.35">
      <c r="A235" s="4"/>
    </row>
    <row r="236" spans="1:1" ht="12.75" x14ac:dyDescent="0.35">
      <c r="A236" s="4"/>
    </row>
    <row r="237" spans="1:1" ht="12.75" x14ac:dyDescent="0.35">
      <c r="A237" s="4"/>
    </row>
    <row r="238" spans="1:1" ht="12.75" x14ac:dyDescent="0.35">
      <c r="A238" s="4"/>
    </row>
    <row r="239" spans="1:1" ht="12.75" x14ac:dyDescent="0.35">
      <c r="A239" s="4"/>
    </row>
    <row r="240" spans="1:1" ht="12.75" x14ac:dyDescent="0.35">
      <c r="A240" s="4"/>
    </row>
    <row r="241" spans="1:1" ht="12.75" x14ac:dyDescent="0.35">
      <c r="A241" s="4"/>
    </row>
    <row r="242" spans="1:1" ht="12.75" x14ac:dyDescent="0.35">
      <c r="A242" s="4"/>
    </row>
    <row r="243" spans="1:1" ht="12.75" x14ac:dyDescent="0.35">
      <c r="A243" s="4"/>
    </row>
    <row r="244" spans="1:1" ht="12.75" x14ac:dyDescent="0.35">
      <c r="A244" s="4"/>
    </row>
    <row r="245" spans="1:1" ht="12.75" x14ac:dyDescent="0.35">
      <c r="A245" s="4"/>
    </row>
    <row r="246" spans="1:1" ht="12.75" x14ac:dyDescent="0.35">
      <c r="A246" s="4"/>
    </row>
    <row r="247" spans="1:1" ht="12.75" x14ac:dyDescent="0.35">
      <c r="A247" s="4"/>
    </row>
    <row r="248" spans="1:1" ht="12.75" x14ac:dyDescent="0.35">
      <c r="A248" s="4"/>
    </row>
    <row r="249" spans="1:1" ht="12.75" x14ac:dyDescent="0.35">
      <c r="A249" s="4"/>
    </row>
    <row r="250" spans="1:1" ht="12.75" x14ac:dyDescent="0.35">
      <c r="A250" s="4"/>
    </row>
    <row r="251" spans="1:1" ht="12.75" x14ac:dyDescent="0.35">
      <c r="A251" s="4"/>
    </row>
    <row r="252" spans="1:1" ht="12.75" x14ac:dyDescent="0.35">
      <c r="A252" s="4"/>
    </row>
    <row r="253" spans="1:1" ht="12.75" x14ac:dyDescent="0.35">
      <c r="A253" s="4"/>
    </row>
    <row r="254" spans="1:1" ht="12.75" x14ac:dyDescent="0.35">
      <c r="A254" s="4"/>
    </row>
    <row r="255" spans="1:1" ht="12.75" x14ac:dyDescent="0.35">
      <c r="A255" s="4"/>
    </row>
    <row r="256" spans="1:1" ht="12.75" x14ac:dyDescent="0.35">
      <c r="A256" s="4"/>
    </row>
    <row r="257" spans="1:1" ht="12.75" x14ac:dyDescent="0.35">
      <c r="A257" s="4"/>
    </row>
    <row r="258" spans="1:1" ht="12.75" x14ac:dyDescent="0.35">
      <c r="A258" s="4"/>
    </row>
    <row r="259" spans="1:1" ht="12.75" x14ac:dyDescent="0.35">
      <c r="A259" s="4"/>
    </row>
    <row r="260" spans="1:1" ht="12.75" x14ac:dyDescent="0.35">
      <c r="A260" s="4"/>
    </row>
    <row r="261" spans="1:1" ht="12.75" x14ac:dyDescent="0.35">
      <c r="A261" s="4"/>
    </row>
    <row r="262" spans="1:1" ht="12.75" x14ac:dyDescent="0.35">
      <c r="A262" s="4"/>
    </row>
    <row r="263" spans="1:1" ht="12.75" x14ac:dyDescent="0.35">
      <c r="A263" s="4"/>
    </row>
    <row r="264" spans="1:1" ht="12.75" x14ac:dyDescent="0.35">
      <c r="A264" s="4"/>
    </row>
    <row r="265" spans="1:1" ht="12.75" x14ac:dyDescent="0.35">
      <c r="A265" s="4"/>
    </row>
    <row r="266" spans="1:1" ht="12.75" x14ac:dyDescent="0.35">
      <c r="A266" s="4"/>
    </row>
    <row r="267" spans="1:1" ht="12.75" x14ac:dyDescent="0.35">
      <c r="A267" s="4"/>
    </row>
    <row r="268" spans="1:1" ht="12.75" x14ac:dyDescent="0.35">
      <c r="A268" s="4"/>
    </row>
    <row r="269" spans="1:1" ht="12.75" x14ac:dyDescent="0.35">
      <c r="A269" s="4"/>
    </row>
    <row r="270" spans="1:1" ht="12.75" x14ac:dyDescent="0.35">
      <c r="A270" s="4"/>
    </row>
    <row r="271" spans="1:1" ht="12.75" x14ac:dyDescent="0.35">
      <c r="A271" s="4"/>
    </row>
    <row r="272" spans="1:1" ht="12.75" x14ac:dyDescent="0.35">
      <c r="A272" s="4"/>
    </row>
    <row r="273" spans="1:1" ht="12.75" x14ac:dyDescent="0.35">
      <c r="A273" s="4"/>
    </row>
    <row r="274" spans="1:1" ht="12.75" x14ac:dyDescent="0.35">
      <c r="A274" s="4"/>
    </row>
    <row r="275" spans="1:1" ht="12.75" x14ac:dyDescent="0.35">
      <c r="A275" s="4"/>
    </row>
    <row r="276" spans="1:1" ht="12.75" x14ac:dyDescent="0.35">
      <c r="A276" s="4"/>
    </row>
    <row r="277" spans="1:1" ht="12.75" x14ac:dyDescent="0.35">
      <c r="A277" s="4"/>
    </row>
    <row r="278" spans="1:1" ht="12.75" x14ac:dyDescent="0.35">
      <c r="A278" s="4"/>
    </row>
    <row r="279" spans="1:1" ht="12.75" x14ac:dyDescent="0.35">
      <c r="A279" s="4"/>
    </row>
    <row r="280" spans="1:1" ht="12.75" x14ac:dyDescent="0.35">
      <c r="A280" s="4"/>
    </row>
    <row r="281" spans="1:1" ht="12.75" x14ac:dyDescent="0.35">
      <c r="A281" s="4"/>
    </row>
    <row r="282" spans="1:1" ht="12.75" x14ac:dyDescent="0.35">
      <c r="A282" s="4"/>
    </row>
    <row r="283" spans="1:1" ht="12.75" x14ac:dyDescent="0.35">
      <c r="A283" s="4"/>
    </row>
    <row r="284" spans="1:1" ht="12.75" x14ac:dyDescent="0.35">
      <c r="A284" s="4"/>
    </row>
    <row r="285" spans="1:1" ht="12.75" x14ac:dyDescent="0.35">
      <c r="A285" s="4"/>
    </row>
    <row r="286" spans="1:1" ht="12.75" x14ac:dyDescent="0.35">
      <c r="A286" s="4"/>
    </row>
    <row r="287" spans="1:1" ht="12.75" x14ac:dyDescent="0.35">
      <c r="A287" s="4"/>
    </row>
    <row r="288" spans="1:1" ht="12.75" x14ac:dyDescent="0.35">
      <c r="A288" s="4"/>
    </row>
    <row r="289" spans="1:1" ht="12.75" x14ac:dyDescent="0.35">
      <c r="A289" s="4"/>
    </row>
    <row r="290" spans="1:1" ht="12.75" x14ac:dyDescent="0.35">
      <c r="A290" s="4"/>
    </row>
    <row r="291" spans="1:1" ht="12.75" x14ac:dyDescent="0.35">
      <c r="A291" s="4"/>
    </row>
    <row r="292" spans="1:1" ht="12.75" x14ac:dyDescent="0.35">
      <c r="A292" s="4"/>
    </row>
    <row r="293" spans="1:1" ht="12.75" x14ac:dyDescent="0.35">
      <c r="A293" s="4"/>
    </row>
    <row r="294" spans="1:1" ht="12.75" x14ac:dyDescent="0.35">
      <c r="A294" s="4"/>
    </row>
    <row r="295" spans="1:1" ht="12.75" x14ac:dyDescent="0.35">
      <c r="A295" s="4"/>
    </row>
    <row r="296" spans="1:1" ht="12.75" x14ac:dyDescent="0.35">
      <c r="A296" s="4"/>
    </row>
    <row r="297" spans="1:1" ht="12.75" x14ac:dyDescent="0.35">
      <c r="A297" s="4"/>
    </row>
    <row r="298" spans="1:1" ht="12.75" x14ac:dyDescent="0.35">
      <c r="A298" s="4"/>
    </row>
    <row r="299" spans="1:1" ht="12.75" x14ac:dyDescent="0.35">
      <c r="A299" s="4"/>
    </row>
    <row r="300" spans="1:1" ht="12.75" x14ac:dyDescent="0.35">
      <c r="A300" s="4"/>
    </row>
    <row r="301" spans="1:1" ht="12.75" x14ac:dyDescent="0.35">
      <c r="A301" s="4"/>
    </row>
    <row r="302" spans="1:1" ht="12.75" x14ac:dyDescent="0.35">
      <c r="A302" s="4"/>
    </row>
    <row r="303" spans="1:1" ht="12.75" x14ac:dyDescent="0.35">
      <c r="A303" s="4"/>
    </row>
    <row r="304" spans="1:1" ht="12.75" x14ac:dyDescent="0.35">
      <c r="A304" s="4"/>
    </row>
    <row r="305" spans="1:1" ht="12.75" x14ac:dyDescent="0.35">
      <c r="A305" s="4"/>
    </row>
    <row r="306" spans="1:1" ht="12.75" x14ac:dyDescent="0.35">
      <c r="A306" s="4"/>
    </row>
    <row r="307" spans="1:1" ht="12.75" x14ac:dyDescent="0.35">
      <c r="A307" s="4"/>
    </row>
    <row r="308" spans="1:1" ht="12.75" x14ac:dyDescent="0.35">
      <c r="A308" s="4"/>
    </row>
    <row r="309" spans="1:1" ht="12.75" x14ac:dyDescent="0.35">
      <c r="A309" s="4"/>
    </row>
    <row r="310" spans="1:1" ht="12.75" x14ac:dyDescent="0.35">
      <c r="A310" s="4"/>
    </row>
    <row r="311" spans="1:1" ht="12.75" x14ac:dyDescent="0.35">
      <c r="A311" s="4"/>
    </row>
    <row r="312" spans="1:1" ht="12.75" x14ac:dyDescent="0.35">
      <c r="A312" s="4"/>
    </row>
    <row r="313" spans="1:1" ht="12.75" x14ac:dyDescent="0.35">
      <c r="A313" s="4"/>
    </row>
    <row r="314" spans="1:1" ht="12.75" x14ac:dyDescent="0.35">
      <c r="A314" s="4"/>
    </row>
    <row r="315" spans="1:1" ht="12.75" x14ac:dyDescent="0.35">
      <c r="A315" s="4"/>
    </row>
    <row r="316" spans="1:1" ht="12.75" x14ac:dyDescent="0.35">
      <c r="A316" s="4"/>
    </row>
    <row r="317" spans="1:1" ht="12.75" x14ac:dyDescent="0.35">
      <c r="A317" s="4"/>
    </row>
    <row r="318" spans="1:1" ht="12.75" x14ac:dyDescent="0.35">
      <c r="A318" s="4"/>
    </row>
    <row r="319" spans="1:1" ht="12.75" x14ac:dyDescent="0.35">
      <c r="A319" s="4"/>
    </row>
    <row r="320" spans="1:1" ht="12.75" x14ac:dyDescent="0.35">
      <c r="A320" s="4"/>
    </row>
    <row r="321" spans="1:1" ht="12.75" x14ac:dyDescent="0.35">
      <c r="A321" s="4"/>
    </row>
    <row r="322" spans="1:1" ht="12.75" x14ac:dyDescent="0.35">
      <c r="A322" s="4"/>
    </row>
    <row r="323" spans="1:1" ht="12.75" x14ac:dyDescent="0.35">
      <c r="A323" s="4"/>
    </row>
    <row r="324" spans="1:1" ht="12.75" x14ac:dyDescent="0.35">
      <c r="A324" s="4"/>
    </row>
    <row r="325" spans="1:1" ht="12.75" x14ac:dyDescent="0.35">
      <c r="A325" s="4"/>
    </row>
    <row r="326" spans="1:1" ht="12.75" x14ac:dyDescent="0.35">
      <c r="A326" s="4"/>
    </row>
    <row r="327" spans="1:1" ht="12.75" x14ac:dyDescent="0.35">
      <c r="A327" s="4"/>
    </row>
    <row r="328" spans="1:1" ht="12.75" x14ac:dyDescent="0.35">
      <c r="A328" s="4"/>
    </row>
    <row r="329" spans="1:1" ht="12.75" x14ac:dyDescent="0.35">
      <c r="A329" s="4"/>
    </row>
    <row r="330" spans="1:1" ht="12.75" x14ac:dyDescent="0.35">
      <c r="A330" s="4"/>
    </row>
    <row r="331" spans="1:1" ht="12.75" x14ac:dyDescent="0.35">
      <c r="A331" s="4"/>
    </row>
    <row r="332" spans="1:1" ht="12.75" x14ac:dyDescent="0.35">
      <c r="A332" s="4"/>
    </row>
    <row r="333" spans="1:1" ht="12.75" x14ac:dyDescent="0.35">
      <c r="A333" s="4"/>
    </row>
    <row r="334" spans="1:1" ht="12.75" x14ac:dyDescent="0.35">
      <c r="A334" s="4"/>
    </row>
    <row r="335" spans="1:1" ht="12.75" x14ac:dyDescent="0.35">
      <c r="A335" s="4"/>
    </row>
    <row r="336" spans="1:1" ht="12.75" x14ac:dyDescent="0.35">
      <c r="A336" s="4"/>
    </row>
    <row r="337" spans="1:1" ht="12.75" x14ac:dyDescent="0.35">
      <c r="A337" s="4"/>
    </row>
    <row r="338" spans="1:1" ht="12.75" x14ac:dyDescent="0.35">
      <c r="A338" s="4"/>
    </row>
    <row r="339" spans="1:1" ht="12.75" x14ac:dyDescent="0.35">
      <c r="A339" s="4"/>
    </row>
    <row r="340" spans="1:1" ht="12.75" x14ac:dyDescent="0.35">
      <c r="A340" s="4"/>
    </row>
    <row r="341" spans="1:1" ht="12.75" x14ac:dyDescent="0.35">
      <c r="A341" s="4"/>
    </row>
    <row r="342" spans="1:1" ht="12.75" x14ac:dyDescent="0.35">
      <c r="A342" s="4"/>
    </row>
    <row r="343" spans="1:1" ht="12.75" x14ac:dyDescent="0.35">
      <c r="A343" s="4"/>
    </row>
    <row r="344" spans="1:1" ht="12.75" x14ac:dyDescent="0.35">
      <c r="A344" s="4"/>
    </row>
    <row r="345" spans="1:1" ht="12.75" x14ac:dyDescent="0.35">
      <c r="A345" s="4"/>
    </row>
    <row r="346" spans="1:1" ht="12.75" x14ac:dyDescent="0.35">
      <c r="A346" s="4"/>
    </row>
    <row r="347" spans="1:1" ht="12.75" x14ac:dyDescent="0.35">
      <c r="A347" s="4"/>
    </row>
    <row r="348" spans="1:1" ht="12.75" x14ac:dyDescent="0.35">
      <c r="A348" s="4"/>
    </row>
    <row r="349" spans="1:1" ht="12.75" x14ac:dyDescent="0.35">
      <c r="A349" s="4"/>
    </row>
    <row r="350" spans="1:1" ht="12.75" x14ac:dyDescent="0.35">
      <c r="A350" s="4"/>
    </row>
    <row r="351" spans="1:1" ht="12.75" x14ac:dyDescent="0.35">
      <c r="A351" s="4"/>
    </row>
    <row r="352" spans="1:1" ht="12.75" x14ac:dyDescent="0.35">
      <c r="A352" s="4"/>
    </row>
    <row r="353" spans="1:1" ht="12.75" x14ac:dyDescent="0.35">
      <c r="A353" s="4"/>
    </row>
    <row r="354" spans="1:1" ht="12.75" x14ac:dyDescent="0.35">
      <c r="A354" s="4"/>
    </row>
    <row r="355" spans="1:1" ht="12.75" x14ac:dyDescent="0.35">
      <c r="A355" s="4"/>
    </row>
    <row r="356" spans="1:1" ht="12.75" x14ac:dyDescent="0.35">
      <c r="A356" s="4"/>
    </row>
    <row r="357" spans="1:1" ht="12.75" x14ac:dyDescent="0.35">
      <c r="A357" s="4"/>
    </row>
    <row r="358" spans="1:1" ht="12.75" x14ac:dyDescent="0.35">
      <c r="A358" s="4"/>
    </row>
    <row r="359" spans="1:1" ht="12.75" x14ac:dyDescent="0.35">
      <c r="A359" s="4"/>
    </row>
    <row r="360" spans="1:1" ht="12.75" x14ac:dyDescent="0.35">
      <c r="A360" s="4"/>
    </row>
    <row r="361" spans="1:1" ht="12.75" x14ac:dyDescent="0.35">
      <c r="A361" s="4"/>
    </row>
    <row r="362" spans="1:1" ht="12.75" x14ac:dyDescent="0.35">
      <c r="A362" s="4"/>
    </row>
    <row r="363" spans="1:1" ht="12.75" x14ac:dyDescent="0.35">
      <c r="A363" s="4"/>
    </row>
    <row r="364" spans="1:1" ht="12.75" x14ac:dyDescent="0.35">
      <c r="A364" s="4"/>
    </row>
    <row r="365" spans="1:1" ht="12.75" x14ac:dyDescent="0.35">
      <c r="A365" s="4"/>
    </row>
    <row r="366" spans="1:1" ht="12.75" x14ac:dyDescent="0.35">
      <c r="A366" s="4"/>
    </row>
    <row r="367" spans="1:1" ht="12.75" x14ac:dyDescent="0.35">
      <c r="A367" s="4"/>
    </row>
    <row r="368" spans="1:1" ht="12.75" x14ac:dyDescent="0.35">
      <c r="A368" s="4"/>
    </row>
    <row r="369" spans="1:1" ht="12.75" x14ac:dyDescent="0.35">
      <c r="A369" s="4"/>
    </row>
    <row r="370" spans="1:1" ht="12.75" x14ac:dyDescent="0.35">
      <c r="A370" s="4"/>
    </row>
    <row r="371" spans="1:1" ht="12.75" x14ac:dyDescent="0.35">
      <c r="A371" s="4"/>
    </row>
    <row r="372" spans="1:1" ht="12.75" x14ac:dyDescent="0.35">
      <c r="A372" s="4"/>
    </row>
    <row r="373" spans="1:1" ht="12.75" x14ac:dyDescent="0.35">
      <c r="A373" s="4"/>
    </row>
    <row r="374" spans="1:1" ht="12.75" x14ac:dyDescent="0.35">
      <c r="A374" s="4"/>
    </row>
    <row r="375" spans="1:1" ht="12.75" x14ac:dyDescent="0.35">
      <c r="A375" s="4"/>
    </row>
    <row r="376" spans="1:1" ht="12.75" x14ac:dyDescent="0.35">
      <c r="A376" s="4"/>
    </row>
    <row r="377" spans="1:1" ht="12.75" x14ac:dyDescent="0.35">
      <c r="A377" s="4"/>
    </row>
    <row r="378" spans="1:1" ht="12.75" x14ac:dyDescent="0.35">
      <c r="A378" s="4"/>
    </row>
    <row r="379" spans="1:1" ht="12.75" x14ac:dyDescent="0.35">
      <c r="A379" s="4"/>
    </row>
    <row r="380" spans="1:1" ht="12.75" x14ac:dyDescent="0.35">
      <c r="A380" s="4"/>
    </row>
    <row r="381" spans="1:1" ht="12.75" x14ac:dyDescent="0.35">
      <c r="A381" s="4"/>
    </row>
    <row r="382" spans="1:1" ht="12.75" x14ac:dyDescent="0.35">
      <c r="A382" s="4"/>
    </row>
    <row r="383" spans="1:1" ht="12.75" x14ac:dyDescent="0.35">
      <c r="A383" s="4"/>
    </row>
    <row r="384" spans="1:1" ht="12.75" x14ac:dyDescent="0.35">
      <c r="A384" s="4"/>
    </row>
    <row r="385" spans="1:1" ht="12.75" x14ac:dyDescent="0.35">
      <c r="A385" s="4"/>
    </row>
    <row r="386" spans="1:1" ht="12.75" x14ac:dyDescent="0.35">
      <c r="A386" s="4"/>
    </row>
    <row r="387" spans="1:1" ht="12.75" x14ac:dyDescent="0.35">
      <c r="A387" s="4"/>
    </row>
    <row r="388" spans="1:1" ht="12.75" x14ac:dyDescent="0.35">
      <c r="A388" s="4"/>
    </row>
    <row r="389" spans="1:1" ht="12.75" x14ac:dyDescent="0.35">
      <c r="A389" s="4"/>
    </row>
    <row r="390" spans="1:1" ht="12.75" x14ac:dyDescent="0.35">
      <c r="A390" s="4"/>
    </row>
    <row r="391" spans="1:1" ht="12.75" x14ac:dyDescent="0.35">
      <c r="A391" s="4"/>
    </row>
    <row r="392" spans="1:1" ht="12.75" x14ac:dyDescent="0.35">
      <c r="A392" s="4"/>
    </row>
    <row r="393" spans="1:1" ht="12.75" x14ac:dyDescent="0.35">
      <c r="A393" s="4"/>
    </row>
    <row r="394" spans="1:1" ht="12.75" x14ac:dyDescent="0.35">
      <c r="A394" s="4"/>
    </row>
    <row r="395" spans="1:1" ht="12.75" x14ac:dyDescent="0.35">
      <c r="A395" s="4"/>
    </row>
    <row r="396" spans="1:1" ht="12.75" x14ac:dyDescent="0.35">
      <c r="A396" s="4"/>
    </row>
    <row r="397" spans="1:1" ht="12.75" x14ac:dyDescent="0.35">
      <c r="A397" s="4"/>
    </row>
    <row r="398" spans="1:1" ht="12.75" x14ac:dyDescent="0.35">
      <c r="A398" s="4"/>
    </row>
    <row r="399" spans="1:1" ht="12.75" x14ac:dyDescent="0.35">
      <c r="A399" s="4"/>
    </row>
    <row r="400" spans="1:1" ht="12.75" x14ac:dyDescent="0.35">
      <c r="A400" s="4"/>
    </row>
    <row r="401" spans="1:1" ht="12.75" x14ac:dyDescent="0.35">
      <c r="A401" s="4"/>
    </row>
    <row r="402" spans="1:1" ht="12.75" x14ac:dyDescent="0.35">
      <c r="A402" s="4"/>
    </row>
    <row r="403" spans="1:1" ht="12.75" x14ac:dyDescent="0.35">
      <c r="A403" s="4"/>
    </row>
    <row r="404" spans="1:1" ht="12.75" x14ac:dyDescent="0.35">
      <c r="A404" s="4"/>
    </row>
    <row r="405" spans="1:1" ht="12.75" x14ac:dyDescent="0.35">
      <c r="A405" s="4"/>
    </row>
    <row r="406" spans="1:1" ht="12.75" x14ac:dyDescent="0.35">
      <c r="A406" s="4"/>
    </row>
    <row r="407" spans="1:1" ht="12.75" x14ac:dyDescent="0.35">
      <c r="A407" s="4"/>
    </row>
    <row r="408" spans="1:1" ht="12.75" x14ac:dyDescent="0.35">
      <c r="A408" s="4"/>
    </row>
    <row r="409" spans="1:1" ht="12.75" x14ac:dyDescent="0.35">
      <c r="A409" s="4"/>
    </row>
    <row r="410" spans="1:1" ht="12.75" x14ac:dyDescent="0.35">
      <c r="A410" s="4"/>
    </row>
    <row r="411" spans="1:1" ht="12.75" x14ac:dyDescent="0.35">
      <c r="A411" s="4"/>
    </row>
    <row r="412" spans="1:1" ht="12.75" x14ac:dyDescent="0.35">
      <c r="A412" s="4"/>
    </row>
    <row r="413" spans="1:1" ht="12.75" x14ac:dyDescent="0.35">
      <c r="A413" s="4"/>
    </row>
    <row r="414" spans="1:1" ht="12.75" x14ac:dyDescent="0.35">
      <c r="A414" s="4"/>
    </row>
    <row r="415" spans="1:1" ht="12.75" x14ac:dyDescent="0.35">
      <c r="A415" s="4"/>
    </row>
    <row r="416" spans="1:1" ht="12.75" x14ac:dyDescent="0.35">
      <c r="A416" s="4"/>
    </row>
    <row r="417" spans="1:1" ht="12.75" x14ac:dyDescent="0.35">
      <c r="A417" s="4"/>
    </row>
    <row r="418" spans="1:1" ht="12.75" x14ac:dyDescent="0.35">
      <c r="A418" s="4"/>
    </row>
    <row r="419" spans="1:1" ht="12.75" x14ac:dyDescent="0.35">
      <c r="A419" s="4"/>
    </row>
    <row r="420" spans="1:1" ht="12.75" x14ac:dyDescent="0.35">
      <c r="A420" s="4"/>
    </row>
    <row r="421" spans="1:1" ht="12.75" x14ac:dyDescent="0.35">
      <c r="A421" s="4"/>
    </row>
    <row r="422" spans="1:1" ht="12.75" x14ac:dyDescent="0.35">
      <c r="A422" s="4"/>
    </row>
    <row r="423" spans="1:1" ht="12.75" x14ac:dyDescent="0.35">
      <c r="A423" s="4"/>
    </row>
    <row r="424" spans="1:1" ht="12.75" x14ac:dyDescent="0.35">
      <c r="A424" s="4"/>
    </row>
    <row r="425" spans="1:1" ht="12.75" x14ac:dyDescent="0.35">
      <c r="A425" s="4"/>
    </row>
    <row r="426" spans="1:1" ht="12.75" x14ac:dyDescent="0.35">
      <c r="A426" s="4"/>
    </row>
    <row r="427" spans="1:1" ht="12.75" x14ac:dyDescent="0.35">
      <c r="A427" s="4"/>
    </row>
    <row r="428" spans="1:1" ht="12.75" x14ac:dyDescent="0.35">
      <c r="A428" s="4"/>
    </row>
    <row r="429" spans="1:1" ht="12.75" x14ac:dyDescent="0.35">
      <c r="A429" s="4"/>
    </row>
    <row r="430" spans="1:1" ht="12.75" x14ac:dyDescent="0.35">
      <c r="A430" s="4"/>
    </row>
    <row r="431" spans="1:1" ht="12.75" x14ac:dyDescent="0.35">
      <c r="A431" s="4"/>
    </row>
    <row r="432" spans="1:1" ht="12.75" x14ac:dyDescent="0.35">
      <c r="A432" s="4"/>
    </row>
    <row r="433" spans="1:1" ht="12.75" x14ac:dyDescent="0.35">
      <c r="A433" s="4"/>
    </row>
    <row r="434" spans="1:1" ht="12.75" x14ac:dyDescent="0.35">
      <c r="A434" s="4"/>
    </row>
    <row r="435" spans="1:1" ht="12.75" x14ac:dyDescent="0.35">
      <c r="A435" s="4"/>
    </row>
    <row r="436" spans="1:1" ht="12.75" x14ac:dyDescent="0.35">
      <c r="A436" s="4"/>
    </row>
    <row r="437" spans="1:1" ht="12.75" x14ac:dyDescent="0.35">
      <c r="A437" s="4"/>
    </row>
    <row r="438" spans="1:1" ht="12.75" x14ac:dyDescent="0.35">
      <c r="A438" s="4"/>
    </row>
    <row r="439" spans="1:1" ht="12.75" x14ac:dyDescent="0.35">
      <c r="A439" s="4"/>
    </row>
    <row r="440" spans="1:1" ht="12.75" x14ac:dyDescent="0.35">
      <c r="A440" s="4"/>
    </row>
    <row r="441" spans="1:1" ht="12.75" x14ac:dyDescent="0.35">
      <c r="A441" s="4"/>
    </row>
    <row r="442" spans="1:1" ht="12.75" x14ac:dyDescent="0.35">
      <c r="A442" s="4"/>
    </row>
    <row r="443" spans="1:1" ht="12.75" x14ac:dyDescent="0.35">
      <c r="A443" s="4"/>
    </row>
    <row r="444" spans="1:1" ht="12.75" x14ac:dyDescent="0.35">
      <c r="A444" s="4"/>
    </row>
    <row r="445" spans="1:1" ht="12.75" x14ac:dyDescent="0.35">
      <c r="A445" s="4"/>
    </row>
    <row r="446" spans="1:1" ht="12.75" x14ac:dyDescent="0.35">
      <c r="A446" s="4"/>
    </row>
    <row r="447" spans="1:1" ht="12.75" x14ac:dyDescent="0.35">
      <c r="A447" s="4"/>
    </row>
    <row r="448" spans="1:1" ht="12.75" x14ac:dyDescent="0.35">
      <c r="A448" s="4"/>
    </row>
    <row r="449" spans="1:1" ht="12.75" x14ac:dyDescent="0.35">
      <c r="A449" s="4"/>
    </row>
    <row r="450" spans="1:1" ht="12.75" x14ac:dyDescent="0.35">
      <c r="A450" s="4"/>
    </row>
    <row r="451" spans="1:1" ht="12.75" x14ac:dyDescent="0.35">
      <c r="A451" s="4"/>
    </row>
    <row r="452" spans="1:1" ht="12.75" x14ac:dyDescent="0.35">
      <c r="A452" s="4"/>
    </row>
    <row r="453" spans="1:1" ht="12.75" x14ac:dyDescent="0.35">
      <c r="A453" s="4"/>
    </row>
    <row r="454" spans="1:1" ht="12.75" x14ac:dyDescent="0.35">
      <c r="A454" s="4"/>
    </row>
    <row r="455" spans="1:1" ht="12.75" x14ac:dyDescent="0.35">
      <c r="A455" s="4"/>
    </row>
    <row r="456" spans="1:1" ht="12.75" x14ac:dyDescent="0.35">
      <c r="A456" s="4"/>
    </row>
    <row r="457" spans="1:1" ht="12.75" x14ac:dyDescent="0.35">
      <c r="A457" s="4"/>
    </row>
    <row r="458" spans="1:1" ht="12.75" x14ac:dyDescent="0.35">
      <c r="A458" s="4"/>
    </row>
    <row r="459" spans="1:1" ht="12.75" x14ac:dyDescent="0.35">
      <c r="A459" s="4"/>
    </row>
    <row r="460" spans="1:1" ht="12.75" x14ac:dyDescent="0.35">
      <c r="A460" s="4"/>
    </row>
    <row r="461" spans="1:1" ht="12.75" x14ac:dyDescent="0.35">
      <c r="A461" s="4"/>
    </row>
    <row r="462" spans="1:1" ht="12.75" x14ac:dyDescent="0.35">
      <c r="A462" s="4"/>
    </row>
    <row r="463" spans="1:1" ht="12.75" x14ac:dyDescent="0.35">
      <c r="A463" s="4"/>
    </row>
    <row r="464" spans="1:1" ht="12.75" x14ac:dyDescent="0.35">
      <c r="A464" s="4"/>
    </row>
    <row r="465" spans="1:1" ht="12.75" x14ac:dyDescent="0.35">
      <c r="A465" s="4"/>
    </row>
    <row r="466" spans="1:1" ht="12.75" x14ac:dyDescent="0.35">
      <c r="A466" s="4"/>
    </row>
    <row r="467" spans="1:1" ht="12.75" x14ac:dyDescent="0.35">
      <c r="A467" s="4"/>
    </row>
    <row r="468" spans="1:1" ht="12.75" x14ac:dyDescent="0.35">
      <c r="A468" s="4"/>
    </row>
    <row r="469" spans="1:1" ht="12.75" x14ac:dyDescent="0.35">
      <c r="A469" s="4"/>
    </row>
    <row r="470" spans="1:1" ht="12.75" x14ac:dyDescent="0.35">
      <c r="A470" s="4"/>
    </row>
    <row r="471" spans="1:1" ht="12.75" x14ac:dyDescent="0.35">
      <c r="A471" s="4"/>
    </row>
    <row r="472" spans="1:1" ht="12.75" x14ac:dyDescent="0.35">
      <c r="A472" s="4"/>
    </row>
    <row r="473" spans="1:1" ht="12.75" x14ac:dyDescent="0.35">
      <c r="A473" s="4"/>
    </row>
    <row r="474" spans="1:1" ht="12.75" x14ac:dyDescent="0.35">
      <c r="A474" s="4"/>
    </row>
    <row r="475" spans="1:1" ht="12.75" x14ac:dyDescent="0.35">
      <c r="A475" s="4"/>
    </row>
    <row r="476" spans="1:1" ht="12.75" x14ac:dyDescent="0.35">
      <c r="A476" s="4"/>
    </row>
    <row r="477" spans="1:1" ht="12.75" x14ac:dyDescent="0.35">
      <c r="A477" s="4"/>
    </row>
    <row r="478" spans="1:1" ht="12.75" x14ac:dyDescent="0.35">
      <c r="A478" s="4"/>
    </row>
    <row r="479" spans="1:1" ht="12.75" x14ac:dyDescent="0.35">
      <c r="A479" s="4"/>
    </row>
    <row r="480" spans="1:1" ht="12.75" x14ac:dyDescent="0.35">
      <c r="A480" s="4"/>
    </row>
    <row r="481" spans="1:1" ht="12.75" x14ac:dyDescent="0.35">
      <c r="A481" s="4"/>
    </row>
    <row r="482" spans="1:1" ht="12.75" x14ac:dyDescent="0.35">
      <c r="A482" s="4"/>
    </row>
    <row r="483" spans="1:1" ht="12.75" x14ac:dyDescent="0.35">
      <c r="A483" s="4"/>
    </row>
    <row r="484" spans="1:1" ht="12.75" x14ac:dyDescent="0.35">
      <c r="A484" s="4"/>
    </row>
    <row r="485" spans="1:1" ht="12.75" x14ac:dyDescent="0.35">
      <c r="A485" s="4"/>
    </row>
    <row r="486" spans="1:1" ht="12.75" x14ac:dyDescent="0.35">
      <c r="A486" s="4"/>
    </row>
    <row r="487" spans="1:1" ht="12.75" x14ac:dyDescent="0.35">
      <c r="A487" s="4"/>
    </row>
    <row r="488" spans="1:1" ht="12.75" x14ac:dyDescent="0.35">
      <c r="A488" s="4"/>
    </row>
    <row r="489" spans="1:1" ht="12.75" x14ac:dyDescent="0.35">
      <c r="A489" s="4"/>
    </row>
    <row r="490" spans="1:1" ht="12.75" x14ac:dyDescent="0.35">
      <c r="A490" s="4"/>
    </row>
    <row r="491" spans="1:1" ht="12.75" x14ac:dyDescent="0.35">
      <c r="A491" s="4"/>
    </row>
    <row r="492" spans="1:1" ht="12.75" x14ac:dyDescent="0.35">
      <c r="A492" s="4"/>
    </row>
    <row r="493" spans="1:1" ht="12.75" x14ac:dyDescent="0.35">
      <c r="A493" s="4"/>
    </row>
    <row r="494" spans="1:1" ht="12.75" x14ac:dyDescent="0.35">
      <c r="A494" s="4"/>
    </row>
    <row r="495" spans="1:1" ht="12.75" x14ac:dyDescent="0.35">
      <c r="A495" s="4"/>
    </row>
    <row r="496" spans="1:1" ht="12.75" x14ac:dyDescent="0.35">
      <c r="A496" s="4"/>
    </row>
    <row r="497" spans="1:1" ht="12.75" x14ac:dyDescent="0.35">
      <c r="A497" s="4"/>
    </row>
    <row r="498" spans="1:1" ht="12.75" x14ac:dyDescent="0.35">
      <c r="A498" s="4"/>
    </row>
    <row r="499" spans="1:1" ht="12.75" x14ac:dyDescent="0.35">
      <c r="A499" s="4"/>
    </row>
    <row r="500" spans="1:1" ht="12.75" x14ac:dyDescent="0.35">
      <c r="A500" s="4"/>
    </row>
    <row r="501" spans="1:1" ht="12.75" x14ac:dyDescent="0.35">
      <c r="A501" s="4"/>
    </row>
    <row r="502" spans="1:1" ht="12.75" x14ac:dyDescent="0.35">
      <c r="A502" s="4"/>
    </row>
    <row r="503" spans="1:1" ht="12.75" x14ac:dyDescent="0.35">
      <c r="A503" s="4"/>
    </row>
    <row r="504" spans="1:1" ht="12.75" x14ac:dyDescent="0.35">
      <c r="A504" s="4"/>
    </row>
    <row r="505" spans="1:1" ht="12.75" x14ac:dyDescent="0.35">
      <c r="A505" s="4"/>
    </row>
    <row r="506" spans="1:1" ht="12.75" x14ac:dyDescent="0.35">
      <c r="A506" s="4"/>
    </row>
    <row r="507" spans="1:1" ht="12.75" x14ac:dyDescent="0.35">
      <c r="A507" s="4"/>
    </row>
    <row r="508" spans="1:1" ht="12.75" x14ac:dyDescent="0.35">
      <c r="A508" s="4"/>
    </row>
    <row r="509" spans="1:1" ht="12.75" x14ac:dyDescent="0.35">
      <c r="A509" s="4"/>
    </row>
    <row r="510" spans="1:1" ht="12.75" x14ac:dyDescent="0.35">
      <c r="A510" s="4"/>
    </row>
    <row r="511" spans="1:1" ht="12.75" x14ac:dyDescent="0.35">
      <c r="A511" s="4"/>
    </row>
    <row r="512" spans="1:1" ht="12.75" x14ac:dyDescent="0.35">
      <c r="A512" s="4"/>
    </row>
    <row r="513" spans="1:1" ht="12.75" x14ac:dyDescent="0.35">
      <c r="A513" s="4"/>
    </row>
    <row r="514" spans="1:1" ht="12.75" x14ac:dyDescent="0.35">
      <c r="A514" s="4"/>
    </row>
    <row r="515" spans="1:1" ht="12.75" x14ac:dyDescent="0.35">
      <c r="A515" s="4"/>
    </row>
    <row r="516" spans="1:1" ht="12.75" x14ac:dyDescent="0.35">
      <c r="A516" s="4"/>
    </row>
    <row r="517" spans="1:1" ht="12.75" x14ac:dyDescent="0.35">
      <c r="A517" s="4"/>
    </row>
    <row r="518" spans="1:1" ht="12.75" x14ac:dyDescent="0.35">
      <c r="A518" s="4"/>
    </row>
    <row r="519" spans="1:1" ht="12.75" x14ac:dyDescent="0.35">
      <c r="A519" s="4"/>
    </row>
    <row r="520" spans="1:1" ht="12.75" x14ac:dyDescent="0.35">
      <c r="A520" s="4"/>
    </row>
    <row r="521" spans="1:1" ht="12.75" x14ac:dyDescent="0.35">
      <c r="A521" s="4"/>
    </row>
    <row r="522" spans="1:1" ht="12.75" x14ac:dyDescent="0.35">
      <c r="A522" s="4"/>
    </row>
    <row r="523" spans="1:1" ht="12.75" x14ac:dyDescent="0.35">
      <c r="A523" s="4"/>
    </row>
    <row r="524" spans="1:1" ht="12.75" x14ac:dyDescent="0.35">
      <c r="A524" s="4"/>
    </row>
    <row r="525" spans="1:1" ht="12.75" x14ac:dyDescent="0.35">
      <c r="A525" s="4"/>
    </row>
    <row r="526" spans="1:1" ht="12.75" x14ac:dyDescent="0.35">
      <c r="A526" s="4"/>
    </row>
    <row r="527" spans="1:1" ht="12.75" x14ac:dyDescent="0.35">
      <c r="A527" s="4"/>
    </row>
    <row r="528" spans="1:1" ht="12.75" x14ac:dyDescent="0.35">
      <c r="A528" s="4"/>
    </row>
    <row r="529" spans="1:1" ht="12.75" x14ac:dyDescent="0.35">
      <c r="A529" s="4"/>
    </row>
    <row r="530" spans="1:1" ht="12.75" x14ac:dyDescent="0.35">
      <c r="A530" s="4"/>
    </row>
    <row r="531" spans="1:1" ht="12.75" x14ac:dyDescent="0.35">
      <c r="A531" s="4"/>
    </row>
    <row r="532" spans="1:1" ht="12.75" x14ac:dyDescent="0.35">
      <c r="A532" s="4"/>
    </row>
    <row r="533" spans="1:1" ht="12.75" x14ac:dyDescent="0.35">
      <c r="A533" s="4"/>
    </row>
    <row r="534" spans="1:1" ht="12.75" x14ac:dyDescent="0.35">
      <c r="A534" s="4"/>
    </row>
    <row r="535" spans="1:1" ht="12.75" x14ac:dyDescent="0.35">
      <c r="A535" s="4"/>
    </row>
    <row r="536" spans="1:1" ht="12.75" x14ac:dyDescent="0.35">
      <c r="A536" s="4"/>
    </row>
    <row r="537" spans="1:1" ht="12.75" x14ac:dyDescent="0.35">
      <c r="A537" s="4"/>
    </row>
    <row r="538" spans="1:1" ht="12.75" x14ac:dyDescent="0.35">
      <c r="A538" s="4"/>
    </row>
    <row r="539" spans="1:1" ht="12.75" x14ac:dyDescent="0.35">
      <c r="A539" s="4"/>
    </row>
    <row r="540" spans="1:1" ht="12.75" x14ac:dyDescent="0.35">
      <c r="A540" s="4"/>
    </row>
    <row r="541" spans="1:1" ht="12.75" x14ac:dyDescent="0.35">
      <c r="A541" s="4"/>
    </row>
    <row r="542" spans="1:1" ht="12.75" x14ac:dyDescent="0.35">
      <c r="A542" s="4"/>
    </row>
    <row r="543" spans="1:1" ht="12.75" x14ac:dyDescent="0.35">
      <c r="A543" s="4"/>
    </row>
    <row r="544" spans="1:1" ht="12.75" x14ac:dyDescent="0.35">
      <c r="A544" s="4"/>
    </row>
    <row r="545" spans="1:1" ht="12.75" x14ac:dyDescent="0.35">
      <c r="A545" s="4"/>
    </row>
    <row r="546" spans="1:1" ht="12.75" x14ac:dyDescent="0.35">
      <c r="A546" s="4"/>
    </row>
    <row r="547" spans="1:1" ht="12.75" x14ac:dyDescent="0.35">
      <c r="A547" s="4"/>
    </row>
    <row r="548" spans="1:1" ht="12.75" x14ac:dyDescent="0.35">
      <c r="A548" s="4"/>
    </row>
    <row r="549" spans="1:1" ht="12.75" x14ac:dyDescent="0.35">
      <c r="A549" s="4"/>
    </row>
    <row r="550" spans="1:1" ht="12.75" x14ac:dyDescent="0.35">
      <c r="A550" s="4"/>
    </row>
    <row r="551" spans="1:1" ht="12.75" x14ac:dyDescent="0.35">
      <c r="A551" s="4"/>
    </row>
    <row r="552" spans="1:1" ht="12.75" x14ac:dyDescent="0.35">
      <c r="A552" s="4"/>
    </row>
    <row r="553" spans="1:1" ht="12.75" x14ac:dyDescent="0.35">
      <c r="A553" s="4"/>
    </row>
    <row r="554" spans="1:1" ht="12.75" x14ac:dyDescent="0.35">
      <c r="A554" s="4"/>
    </row>
    <row r="555" spans="1:1" ht="12.75" x14ac:dyDescent="0.35">
      <c r="A555" s="4"/>
    </row>
    <row r="556" spans="1:1" ht="12.75" x14ac:dyDescent="0.35">
      <c r="A556" s="4"/>
    </row>
    <row r="557" spans="1:1" ht="12.75" x14ac:dyDescent="0.35">
      <c r="A557" s="4"/>
    </row>
    <row r="558" spans="1:1" ht="12.75" x14ac:dyDescent="0.35">
      <c r="A558" s="4"/>
    </row>
    <row r="559" spans="1:1" ht="12.75" x14ac:dyDescent="0.35">
      <c r="A559" s="4"/>
    </row>
    <row r="560" spans="1:1" ht="12.75" x14ac:dyDescent="0.35">
      <c r="A560" s="4"/>
    </row>
    <row r="561" spans="1:1" ht="12.75" x14ac:dyDescent="0.35">
      <c r="A561" s="4"/>
    </row>
    <row r="562" spans="1:1" ht="12.75" x14ac:dyDescent="0.35">
      <c r="A562" s="4"/>
    </row>
    <row r="563" spans="1:1" ht="12.75" x14ac:dyDescent="0.35">
      <c r="A563" s="4"/>
    </row>
    <row r="564" spans="1:1" ht="12.75" x14ac:dyDescent="0.35">
      <c r="A564" s="4"/>
    </row>
    <row r="565" spans="1:1" ht="12.75" x14ac:dyDescent="0.35">
      <c r="A565" s="4"/>
    </row>
    <row r="566" spans="1:1" ht="12.75" x14ac:dyDescent="0.35">
      <c r="A566" s="4"/>
    </row>
    <row r="567" spans="1:1" ht="12.75" x14ac:dyDescent="0.35">
      <c r="A567" s="4"/>
    </row>
    <row r="568" spans="1:1" ht="12.75" x14ac:dyDescent="0.35">
      <c r="A568" s="4"/>
    </row>
    <row r="569" spans="1:1" ht="12.75" x14ac:dyDescent="0.35">
      <c r="A569" s="4"/>
    </row>
    <row r="570" spans="1:1" ht="12.75" x14ac:dyDescent="0.35">
      <c r="A570" s="4"/>
    </row>
    <row r="571" spans="1:1" ht="12.75" x14ac:dyDescent="0.35">
      <c r="A571" s="4"/>
    </row>
    <row r="572" spans="1:1" ht="12.75" x14ac:dyDescent="0.35">
      <c r="A572" s="4"/>
    </row>
    <row r="573" spans="1:1" ht="12.75" x14ac:dyDescent="0.35">
      <c r="A573" s="4"/>
    </row>
    <row r="574" spans="1:1" ht="12.75" x14ac:dyDescent="0.35">
      <c r="A574" s="4"/>
    </row>
    <row r="575" spans="1:1" ht="12.75" x14ac:dyDescent="0.35">
      <c r="A575" s="4"/>
    </row>
    <row r="576" spans="1:1" ht="12.75" x14ac:dyDescent="0.35">
      <c r="A576" s="4"/>
    </row>
    <row r="577" spans="1:1" ht="12.75" x14ac:dyDescent="0.35">
      <c r="A577" s="4"/>
    </row>
    <row r="578" spans="1:1" ht="12.75" x14ac:dyDescent="0.35">
      <c r="A578" s="4"/>
    </row>
    <row r="579" spans="1:1" ht="12.75" x14ac:dyDescent="0.35">
      <c r="A579" s="4"/>
    </row>
    <row r="580" spans="1:1" ht="12.75" x14ac:dyDescent="0.35">
      <c r="A580" s="4"/>
    </row>
    <row r="581" spans="1:1" ht="12.75" x14ac:dyDescent="0.35">
      <c r="A581" s="4"/>
    </row>
    <row r="582" spans="1:1" ht="12.75" x14ac:dyDescent="0.35">
      <c r="A582" s="4"/>
    </row>
    <row r="583" spans="1:1" ht="12.75" x14ac:dyDescent="0.35">
      <c r="A583" s="4"/>
    </row>
    <row r="584" spans="1:1" ht="12.75" x14ac:dyDescent="0.35">
      <c r="A584" s="4"/>
    </row>
    <row r="585" spans="1:1" ht="12.75" x14ac:dyDescent="0.35">
      <c r="A585" s="4"/>
    </row>
    <row r="586" spans="1:1" ht="12.75" x14ac:dyDescent="0.35">
      <c r="A586" s="4"/>
    </row>
    <row r="587" spans="1:1" ht="12.75" x14ac:dyDescent="0.35">
      <c r="A587" s="4"/>
    </row>
    <row r="588" spans="1:1" ht="12.75" x14ac:dyDescent="0.35">
      <c r="A588" s="4"/>
    </row>
    <row r="589" spans="1:1" ht="12.75" x14ac:dyDescent="0.35">
      <c r="A589" s="4"/>
    </row>
    <row r="590" spans="1:1" ht="12.75" x14ac:dyDescent="0.35">
      <c r="A590" s="4"/>
    </row>
    <row r="591" spans="1:1" ht="12.75" x14ac:dyDescent="0.35">
      <c r="A591" s="4"/>
    </row>
    <row r="592" spans="1:1" ht="12.75" x14ac:dyDescent="0.35">
      <c r="A592" s="4"/>
    </row>
    <row r="593" spans="1:1" ht="12.75" x14ac:dyDescent="0.35">
      <c r="A593" s="4"/>
    </row>
    <row r="594" spans="1:1" ht="12.75" x14ac:dyDescent="0.35">
      <c r="A594" s="4"/>
    </row>
    <row r="595" spans="1:1" ht="12.75" x14ac:dyDescent="0.35">
      <c r="A595" s="4"/>
    </row>
    <row r="596" spans="1:1" ht="12.75" x14ac:dyDescent="0.35">
      <c r="A596" s="4"/>
    </row>
    <row r="597" spans="1:1" ht="12.75" x14ac:dyDescent="0.35">
      <c r="A597" s="4"/>
    </row>
    <row r="598" spans="1:1" ht="12.75" x14ac:dyDescent="0.35">
      <c r="A598" s="4"/>
    </row>
    <row r="599" spans="1:1" ht="12.75" x14ac:dyDescent="0.35">
      <c r="A599" s="4"/>
    </row>
    <row r="600" spans="1:1" ht="12.75" x14ac:dyDescent="0.35">
      <c r="A600" s="4"/>
    </row>
    <row r="601" spans="1:1" ht="12.75" x14ac:dyDescent="0.35">
      <c r="A601" s="4"/>
    </row>
    <row r="602" spans="1:1" ht="12.75" x14ac:dyDescent="0.35">
      <c r="A602" s="4"/>
    </row>
    <row r="603" spans="1:1" ht="12.75" x14ac:dyDescent="0.35">
      <c r="A603" s="4"/>
    </row>
    <row r="604" spans="1:1" ht="12.75" x14ac:dyDescent="0.35">
      <c r="A604" s="4"/>
    </row>
    <row r="605" spans="1:1" ht="12.75" x14ac:dyDescent="0.35">
      <c r="A605" s="4"/>
    </row>
    <row r="606" spans="1:1" ht="12.75" x14ac:dyDescent="0.35">
      <c r="A606" s="4"/>
    </row>
    <row r="607" spans="1:1" ht="12.75" x14ac:dyDescent="0.35">
      <c r="A607" s="4"/>
    </row>
    <row r="608" spans="1:1" ht="12.75" x14ac:dyDescent="0.35">
      <c r="A608" s="4"/>
    </row>
    <row r="609" spans="1:1" ht="12.75" x14ac:dyDescent="0.35">
      <c r="A609" s="4"/>
    </row>
    <row r="610" spans="1:1" ht="12.75" x14ac:dyDescent="0.35">
      <c r="A610" s="4"/>
    </row>
    <row r="611" spans="1:1" ht="12.75" x14ac:dyDescent="0.35">
      <c r="A611" s="4"/>
    </row>
    <row r="612" spans="1:1" ht="12.75" x14ac:dyDescent="0.35">
      <c r="A612" s="4"/>
    </row>
    <row r="613" spans="1:1" ht="12.75" x14ac:dyDescent="0.35">
      <c r="A613" s="4"/>
    </row>
    <row r="614" spans="1:1" ht="12.75" x14ac:dyDescent="0.35">
      <c r="A614" s="4"/>
    </row>
    <row r="615" spans="1:1" ht="12.75" x14ac:dyDescent="0.35">
      <c r="A615" s="4"/>
    </row>
    <row r="616" spans="1:1" ht="12.75" x14ac:dyDescent="0.35">
      <c r="A616" s="4"/>
    </row>
    <row r="617" spans="1:1" ht="12.75" x14ac:dyDescent="0.35">
      <c r="A617" s="4"/>
    </row>
    <row r="618" spans="1:1" ht="12.75" x14ac:dyDescent="0.35">
      <c r="A618" s="4"/>
    </row>
    <row r="619" spans="1:1" ht="12.75" x14ac:dyDescent="0.35">
      <c r="A619" s="4"/>
    </row>
    <row r="620" spans="1:1" ht="12.75" x14ac:dyDescent="0.35">
      <c r="A620" s="4"/>
    </row>
    <row r="621" spans="1:1" ht="12.75" x14ac:dyDescent="0.35">
      <c r="A621" s="4"/>
    </row>
    <row r="622" spans="1:1" ht="12.75" x14ac:dyDescent="0.35">
      <c r="A622" s="4"/>
    </row>
    <row r="623" spans="1:1" ht="12.75" x14ac:dyDescent="0.35">
      <c r="A623" s="4"/>
    </row>
    <row r="624" spans="1:1" ht="12.75" x14ac:dyDescent="0.35">
      <c r="A624" s="4"/>
    </row>
    <row r="625" spans="1:1" ht="12.75" x14ac:dyDescent="0.35">
      <c r="A625" s="4"/>
    </row>
    <row r="626" spans="1:1" ht="12.75" x14ac:dyDescent="0.35">
      <c r="A626" s="4"/>
    </row>
    <row r="627" spans="1:1" ht="12.75" x14ac:dyDescent="0.35">
      <c r="A627" s="4"/>
    </row>
    <row r="628" spans="1:1" ht="12.75" x14ac:dyDescent="0.35">
      <c r="A628" s="4"/>
    </row>
    <row r="629" spans="1:1" ht="12.75" x14ac:dyDescent="0.35">
      <c r="A629" s="4"/>
    </row>
    <row r="630" spans="1:1" ht="12.75" x14ac:dyDescent="0.35">
      <c r="A630" s="4"/>
    </row>
    <row r="631" spans="1:1" ht="12.75" x14ac:dyDescent="0.35">
      <c r="A631" s="4"/>
    </row>
    <row r="632" spans="1:1" ht="12.75" x14ac:dyDescent="0.35">
      <c r="A632" s="4"/>
    </row>
    <row r="633" spans="1:1" ht="12.75" x14ac:dyDescent="0.35">
      <c r="A633" s="4"/>
    </row>
    <row r="634" spans="1:1" ht="12.75" x14ac:dyDescent="0.35">
      <c r="A634" s="4"/>
    </row>
    <row r="635" spans="1:1" ht="12.75" x14ac:dyDescent="0.35">
      <c r="A635" s="4"/>
    </row>
    <row r="636" spans="1:1" ht="12.75" x14ac:dyDescent="0.35">
      <c r="A636" s="4"/>
    </row>
    <row r="637" spans="1:1" ht="12.75" x14ac:dyDescent="0.35">
      <c r="A637" s="4"/>
    </row>
    <row r="638" spans="1:1" ht="12.75" x14ac:dyDescent="0.35">
      <c r="A638" s="4"/>
    </row>
    <row r="639" spans="1:1" ht="12.75" x14ac:dyDescent="0.35">
      <c r="A639" s="4"/>
    </row>
    <row r="640" spans="1:1" ht="12.75" x14ac:dyDescent="0.35">
      <c r="A640" s="4"/>
    </row>
    <row r="641" spans="1:1" ht="12.75" x14ac:dyDescent="0.35">
      <c r="A641" s="4"/>
    </row>
    <row r="642" spans="1:1" ht="12.75" x14ac:dyDescent="0.35">
      <c r="A642" s="4"/>
    </row>
    <row r="643" spans="1:1" ht="12.75" x14ac:dyDescent="0.35">
      <c r="A643" s="4"/>
    </row>
    <row r="644" spans="1:1" ht="12.75" x14ac:dyDescent="0.35">
      <c r="A644" s="4"/>
    </row>
    <row r="645" spans="1:1" ht="12.75" x14ac:dyDescent="0.35">
      <c r="A645" s="4"/>
    </row>
    <row r="646" spans="1:1" ht="12.75" x14ac:dyDescent="0.35">
      <c r="A646" s="4"/>
    </row>
    <row r="647" spans="1:1" ht="12.75" x14ac:dyDescent="0.35">
      <c r="A647" s="4"/>
    </row>
    <row r="648" spans="1:1" ht="12.75" x14ac:dyDescent="0.35">
      <c r="A648" s="4"/>
    </row>
    <row r="649" spans="1:1" ht="12.75" x14ac:dyDescent="0.35">
      <c r="A649" s="4"/>
    </row>
    <row r="650" spans="1:1" ht="12.75" x14ac:dyDescent="0.35">
      <c r="A650" s="4"/>
    </row>
    <row r="651" spans="1:1" ht="12.75" x14ac:dyDescent="0.35">
      <c r="A651" s="4"/>
    </row>
    <row r="652" spans="1:1" ht="12.75" x14ac:dyDescent="0.35">
      <c r="A652" s="4"/>
    </row>
    <row r="653" spans="1:1" ht="12.75" x14ac:dyDescent="0.35">
      <c r="A653" s="4"/>
    </row>
    <row r="654" spans="1:1" ht="12.75" x14ac:dyDescent="0.35">
      <c r="A654" s="4"/>
    </row>
    <row r="655" spans="1:1" ht="12.75" x14ac:dyDescent="0.35">
      <c r="A655" s="4"/>
    </row>
    <row r="656" spans="1:1" ht="12.75" x14ac:dyDescent="0.35">
      <c r="A656" s="4"/>
    </row>
    <row r="657" spans="1:1" ht="12.75" x14ac:dyDescent="0.35">
      <c r="A657" s="4"/>
    </row>
    <row r="658" spans="1:1" ht="12.75" x14ac:dyDescent="0.35">
      <c r="A658" s="4"/>
    </row>
    <row r="659" spans="1:1" ht="12.75" x14ac:dyDescent="0.35">
      <c r="A659" s="4"/>
    </row>
    <row r="660" spans="1:1" ht="12.75" x14ac:dyDescent="0.35">
      <c r="A660" s="4"/>
    </row>
    <row r="661" spans="1:1" ht="12.75" x14ac:dyDescent="0.35">
      <c r="A661" s="4"/>
    </row>
    <row r="662" spans="1:1" ht="12.75" x14ac:dyDescent="0.35">
      <c r="A662" s="4"/>
    </row>
    <row r="663" spans="1:1" ht="12.75" x14ac:dyDescent="0.35">
      <c r="A663" s="4"/>
    </row>
    <row r="664" spans="1:1" ht="12.75" x14ac:dyDescent="0.35">
      <c r="A664" s="4"/>
    </row>
    <row r="665" spans="1:1" ht="12.75" x14ac:dyDescent="0.35">
      <c r="A665" s="4"/>
    </row>
    <row r="666" spans="1:1" ht="12.75" x14ac:dyDescent="0.35">
      <c r="A666" s="4"/>
    </row>
    <row r="667" spans="1:1" ht="12.75" x14ac:dyDescent="0.35">
      <c r="A667" s="4"/>
    </row>
    <row r="668" spans="1:1" ht="12.75" x14ac:dyDescent="0.35">
      <c r="A668" s="4"/>
    </row>
    <row r="669" spans="1:1" ht="12.75" x14ac:dyDescent="0.35">
      <c r="A669" s="4"/>
    </row>
    <row r="670" spans="1:1" ht="12.75" x14ac:dyDescent="0.35">
      <c r="A670" s="4"/>
    </row>
    <row r="671" spans="1:1" ht="12.75" x14ac:dyDescent="0.35">
      <c r="A671" s="4"/>
    </row>
    <row r="672" spans="1:1" ht="12.75" x14ac:dyDescent="0.35">
      <c r="A672" s="4"/>
    </row>
    <row r="673" spans="1:1" ht="12.75" x14ac:dyDescent="0.35">
      <c r="A673" s="4"/>
    </row>
    <row r="674" spans="1:1" ht="12.75" x14ac:dyDescent="0.35">
      <c r="A674" s="4"/>
    </row>
    <row r="675" spans="1:1" ht="12.75" x14ac:dyDescent="0.35">
      <c r="A675" s="4"/>
    </row>
    <row r="676" spans="1:1" ht="12.75" x14ac:dyDescent="0.35">
      <c r="A676" s="4"/>
    </row>
    <row r="677" spans="1:1" ht="12.75" x14ac:dyDescent="0.35">
      <c r="A677" s="4"/>
    </row>
    <row r="678" spans="1:1" ht="12.75" x14ac:dyDescent="0.35">
      <c r="A678" s="4"/>
    </row>
    <row r="679" spans="1:1" ht="12.75" x14ac:dyDescent="0.35">
      <c r="A679" s="4"/>
    </row>
    <row r="680" spans="1:1" ht="12.75" x14ac:dyDescent="0.35">
      <c r="A680" s="4"/>
    </row>
    <row r="681" spans="1:1" ht="12.75" x14ac:dyDescent="0.35">
      <c r="A681" s="4"/>
    </row>
    <row r="682" spans="1:1" ht="12.75" x14ac:dyDescent="0.35">
      <c r="A682" s="4"/>
    </row>
    <row r="683" spans="1:1" ht="12.75" x14ac:dyDescent="0.35">
      <c r="A683" s="4"/>
    </row>
    <row r="684" spans="1:1" ht="12.75" x14ac:dyDescent="0.35">
      <c r="A684" s="4"/>
    </row>
    <row r="685" spans="1:1" ht="12.75" x14ac:dyDescent="0.35">
      <c r="A685" s="4"/>
    </row>
    <row r="686" spans="1:1" ht="12.75" x14ac:dyDescent="0.35">
      <c r="A686" s="4"/>
    </row>
    <row r="687" spans="1:1" ht="12.75" x14ac:dyDescent="0.35">
      <c r="A687" s="4"/>
    </row>
    <row r="688" spans="1:1" ht="12.75" x14ac:dyDescent="0.35">
      <c r="A688" s="4"/>
    </row>
    <row r="689" spans="1:1" ht="12.75" x14ac:dyDescent="0.35">
      <c r="A689" s="4"/>
    </row>
    <row r="690" spans="1:1" ht="12.75" x14ac:dyDescent="0.35">
      <c r="A690" s="4"/>
    </row>
    <row r="691" spans="1:1" ht="12.75" x14ac:dyDescent="0.35">
      <c r="A691" s="4"/>
    </row>
    <row r="692" spans="1:1" ht="12.75" x14ac:dyDescent="0.35">
      <c r="A692" s="4"/>
    </row>
    <row r="693" spans="1:1" ht="12.75" x14ac:dyDescent="0.35">
      <c r="A693" s="4"/>
    </row>
    <row r="694" spans="1:1" ht="12.75" x14ac:dyDescent="0.35">
      <c r="A694" s="4"/>
    </row>
    <row r="695" spans="1:1" ht="12.75" x14ac:dyDescent="0.35">
      <c r="A695" s="4"/>
    </row>
    <row r="696" spans="1:1" ht="12.75" x14ac:dyDescent="0.35">
      <c r="A696" s="4"/>
    </row>
    <row r="697" spans="1:1" ht="12.75" x14ac:dyDescent="0.35">
      <c r="A697" s="4"/>
    </row>
    <row r="698" spans="1:1" ht="12.75" x14ac:dyDescent="0.35">
      <c r="A698" s="4"/>
    </row>
    <row r="699" spans="1:1" ht="12.75" x14ac:dyDescent="0.35">
      <c r="A699" s="4"/>
    </row>
    <row r="700" spans="1:1" ht="12.75" x14ac:dyDescent="0.35">
      <c r="A700" s="4"/>
    </row>
    <row r="701" spans="1:1" ht="12.75" x14ac:dyDescent="0.35">
      <c r="A701" s="4"/>
    </row>
    <row r="702" spans="1:1" ht="12.75" x14ac:dyDescent="0.35">
      <c r="A702" s="4"/>
    </row>
    <row r="703" spans="1:1" ht="12.75" x14ac:dyDescent="0.35">
      <c r="A703" s="4"/>
    </row>
    <row r="704" spans="1:1" ht="12.75" x14ac:dyDescent="0.35">
      <c r="A704" s="4"/>
    </row>
    <row r="705" spans="1:1" ht="12.75" x14ac:dyDescent="0.35">
      <c r="A705" s="4"/>
    </row>
    <row r="706" spans="1:1" ht="12.75" x14ac:dyDescent="0.35">
      <c r="A706" s="4"/>
    </row>
    <row r="707" spans="1:1" ht="12.75" x14ac:dyDescent="0.35">
      <c r="A707" s="4"/>
    </row>
    <row r="708" spans="1:1" ht="12.75" x14ac:dyDescent="0.35">
      <c r="A708" s="4"/>
    </row>
    <row r="709" spans="1:1" ht="12.75" x14ac:dyDescent="0.35">
      <c r="A709" s="4"/>
    </row>
    <row r="710" spans="1:1" ht="12.75" x14ac:dyDescent="0.35">
      <c r="A710" s="4"/>
    </row>
    <row r="711" spans="1:1" ht="12.75" x14ac:dyDescent="0.35">
      <c r="A711" s="4"/>
    </row>
    <row r="712" spans="1:1" ht="12.75" x14ac:dyDescent="0.35">
      <c r="A712" s="4"/>
    </row>
    <row r="713" spans="1:1" ht="12.75" x14ac:dyDescent="0.35">
      <c r="A713" s="4"/>
    </row>
    <row r="714" spans="1:1" ht="12.75" x14ac:dyDescent="0.35">
      <c r="A714" s="4"/>
    </row>
    <row r="715" spans="1:1" ht="12.75" x14ac:dyDescent="0.35">
      <c r="A715" s="4"/>
    </row>
    <row r="716" spans="1:1" ht="12.75" x14ac:dyDescent="0.35">
      <c r="A716" s="4"/>
    </row>
    <row r="717" spans="1:1" ht="12.75" x14ac:dyDescent="0.35">
      <c r="A717" s="4"/>
    </row>
    <row r="718" spans="1:1" ht="12.75" x14ac:dyDescent="0.35">
      <c r="A718" s="4"/>
    </row>
    <row r="719" spans="1:1" ht="12.75" x14ac:dyDescent="0.35">
      <c r="A719" s="4"/>
    </row>
    <row r="720" spans="1:1" ht="12.75" x14ac:dyDescent="0.35">
      <c r="A720" s="4"/>
    </row>
    <row r="721" spans="1:1" ht="12.75" x14ac:dyDescent="0.35">
      <c r="A721" s="4"/>
    </row>
    <row r="722" spans="1:1" ht="12.75" x14ac:dyDescent="0.35">
      <c r="A722" s="4"/>
    </row>
    <row r="723" spans="1:1" ht="12.75" x14ac:dyDescent="0.35">
      <c r="A723" s="4"/>
    </row>
    <row r="724" spans="1:1" ht="12.75" x14ac:dyDescent="0.35">
      <c r="A724" s="4"/>
    </row>
    <row r="725" spans="1:1" ht="12.75" x14ac:dyDescent="0.35">
      <c r="A725" s="4"/>
    </row>
    <row r="726" spans="1:1" ht="12.75" x14ac:dyDescent="0.35">
      <c r="A726" s="4"/>
    </row>
    <row r="727" spans="1:1" ht="12.75" x14ac:dyDescent="0.35">
      <c r="A727" s="4"/>
    </row>
    <row r="728" spans="1:1" ht="12.75" x14ac:dyDescent="0.35">
      <c r="A728" s="4"/>
    </row>
    <row r="729" spans="1:1" ht="12.75" x14ac:dyDescent="0.35">
      <c r="A729" s="4"/>
    </row>
    <row r="730" spans="1:1" ht="12.75" x14ac:dyDescent="0.35">
      <c r="A730" s="4"/>
    </row>
    <row r="731" spans="1:1" ht="12.75" x14ac:dyDescent="0.35">
      <c r="A731" s="4"/>
    </row>
    <row r="732" spans="1:1" ht="12.75" x14ac:dyDescent="0.35">
      <c r="A732" s="4"/>
    </row>
    <row r="733" spans="1:1" ht="12.75" x14ac:dyDescent="0.35">
      <c r="A733" s="4"/>
    </row>
    <row r="734" spans="1:1" ht="12.75" x14ac:dyDescent="0.35">
      <c r="A734" s="4"/>
    </row>
    <row r="735" spans="1:1" ht="12.75" x14ac:dyDescent="0.35">
      <c r="A735" s="4"/>
    </row>
    <row r="736" spans="1:1" ht="12.75" x14ac:dyDescent="0.35">
      <c r="A736" s="4"/>
    </row>
    <row r="737" spans="1:1" ht="12.75" x14ac:dyDescent="0.35">
      <c r="A737" s="4"/>
    </row>
    <row r="738" spans="1:1" ht="12.75" x14ac:dyDescent="0.35">
      <c r="A738" s="4"/>
    </row>
    <row r="739" spans="1:1" ht="12.75" x14ac:dyDescent="0.35">
      <c r="A739" s="4"/>
    </row>
    <row r="740" spans="1:1" ht="12.75" x14ac:dyDescent="0.35">
      <c r="A740" s="4"/>
    </row>
    <row r="741" spans="1:1" ht="12.75" x14ac:dyDescent="0.35">
      <c r="A741" s="4"/>
    </row>
    <row r="742" spans="1:1" ht="12.75" x14ac:dyDescent="0.35">
      <c r="A742" s="4"/>
    </row>
    <row r="743" spans="1:1" ht="12.75" x14ac:dyDescent="0.35">
      <c r="A743" s="4"/>
    </row>
    <row r="744" spans="1:1" ht="12.75" x14ac:dyDescent="0.35">
      <c r="A744" s="4"/>
    </row>
    <row r="745" spans="1:1" ht="12.75" x14ac:dyDescent="0.35">
      <c r="A745" s="4"/>
    </row>
    <row r="746" spans="1:1" ht="12.75" x14ac:dyDescent="0.35">
      <c r="A746" s="4"/>
    </row>
    <row r="747" spans="1:1" ht="12.75" x14ac:dyDescent="0.35">
      <c r="A747" s="4"/>
    </row>
    <row r="748" spans="1:1" ht="12.75" x14ac:dyDescent="0.35">
      <c r="A748" s="4"/>
    </row>
    <row r="749" spans="1:1" ht="12.75" x14ac:dyDescent="0.35">
      <c r="A749" s="4"/>
    </row>
    <row r="750" spans="1:1" ht="12.75" x14ac:dyDescent="0.35">
      <c r="A750" s="4"/>
    </row>
    <row r="751" spans="1:1" ht="12.75" x14ac:dyDescent="0.35">
      <c r="A751" s="4"/>
    </row>
    <row r="752" spans="1:1" ht="12.75" x14ac:dyDescent="0.35">
      <c r="A752" s="4"/>
    </row>
    <row r="753" spans="1:1" ht="12.75" x14ac:dyDescent="0.35">
      <c r="A753" s="4"/>
    </row>
    <row r="754" spans="1:1" ht="12.75" x14ac:dyDescent="0.35">
      <c r="A754" s="4"/>
    </row>
    <row r="755" spans="1:1" ht="12.75" x14ac:dyDescent="0.35">
      <c r="A755" s="4"/>
    </row>
    <row r="756" spans="1:1" ht="12.75" x14ac:dyDescent="0.35">
      <c r="A756" s="4"/>
    </row>
    <row r="757" spans="1:1" ht="12.75" x14ac:dyDescent="0.35">
      <c r="A757" s="4"/>
    </row>
    <row r="758" spans="1:1" ht="12.75" x14ac:dyDescent="0.35">
      <c r="A758" s="4"/>
    </row>
    <row r="759" spans="1:1" ht="12.75" x14ac:dyDescent="0.35">
      <c r="A759" s="4"/>
    </row>
    <row r="760" spans="1:1" ht="12.75" x14ac:dyDescent="0.35">
      <c r="A760" s="4"/>
    </row>
    <row r="761" spans="1:1" ht="12.75" x14ac:dyDescent="0.35">
      <c r="A761" s="4"/>
    </row>
    <row r="762" spans="1:1" ht="12.75" x14ac:dyDescent="0.35">
      <c r="A762" s="4"/>
    </row>
    <row r="763" spans="1:1" ht="12.75" x14ac:dyDescent="0.35">
      <c r="A763" s="4"/>
    </row>
    <row r="764" spans="1:1" ht="12.75" x14ac:dyDescent="0.35">
      <c r="A764" s="4"/>
    </row>
    <row r="765" spans="1:1" ht="12.75" x14ac:dyDescent="0.35">
      <c r="A765" s="4"/>
    </row>
    <row r="766" spans="1:1" ht="12.75" x14ac:dyDescent="0.35">
      <c r="A766" s="4"/>
    </row>
    <row r="767" spans="1:1" ht="12.75" x14ac:dyDescent="0.35">
      <c r="A767" s="4"/>
    </row>
    <row r="768" spans="1:1" ht="12.75" x14ac:dyDescent="0.35">
      <c r="A768" s="4"/>
    </row>
    <row r="769" spans="1:1" ht="12.75" x14ac:dyDescent="0.35">
      <c r="A769" s="4"/>
    </row>
    <row r="770" spans="1:1" ht="12.75" x14ac:dyDescent="0.35">
      <c r="A770" s="4"/>
    </row>
    <row r="771" spans="1:1" ht="12.75" x14ac:dyDescent="0.35">
      <c r="A771" s="4"/>
    </row>
    <row r="772" spans="1:1" ht="12.75" x14ac:dyDescent="0.35">
      <c r="A772" s="4"/>
    </row>
    <row r="773" spans="1:1" ht="12.75" x14ac:dyDescent="0.35">
      <c r="A773" s="4"/>
    </row>
    <row r="774" spans="1:1" ht="12.75" x14ac:dyDescent="0.35">
      <c r="A774" s="4"/>
    </row>
    <row r="775" spans="1:1" ht="12.75" x14ac:dyDescent="0.35">
      <c r="A775" s="4"/>
    </row>
    <row r="776" spans="1:1" ht="12.75" x14ac:dyDescent="0.35">
      <c r="A776" s="4"/>
    </row>
    <row r="777" spans="1:1" ht="12.75" x14ac:dyDescent="0.35">
      <c r="A777" s="4"/>
    </row>
    <row r="778" spans="1:1" ht="12.75" x14ac:dyDescent="0.35">
      <c r="A778" s="4"/>
    </row>
    <row r="779" spans="1:1" ht="12.75" x14ac:dyDescent="0.35">
      <c r="A779" s="4"/>
    </row>
    <row r="780" spans="1:1" ht="12.75" x14ac:dyDescent="0.35">
      <c r="A780" s="4"/>
    </row>
    <row r="781" spans="1:1" ht="12.75" x14ac:dyDescent="0.35">
      <c r="A781" s="4"/>
    </row>
    <row r="782" spans="1:1" ht="12.75" x14ac:dyDescent="0.35">
      <c r="A782" s="4"/>
    </row>
    <row r="783" spans="1:1" ht="12.75" x14ac:dyDescent="0.35">
      <c r="A783" s="4"/>
    </row>
    <row r="784" spans="1:1" ht="12.75" x14ac:dyDescent="0.35">
      <c r="A784" s="4"/>
    </row>
    <row r="785" spans="1:1" ht="12.75" x14ac:dyDescent="0.35">
      <c r="A785" s="4"/>
    </row>
    <row r="786" spans="1:1" ht="12.75" x14ac:dyDescent="0.35">
      <c r="A786" s="4"/>
    </row>
    <row r="787" spans="1:1" ht="12.75" x14ac:dyDescent="0.35">
      <c r="A787" s="4"/>
    </row>
    <row r="788" spans="1:1" ht="12.75" x14ac:dyDescent="0.35">
      <c r="A788" s="4"/>
    </row>
    <row r="789" spans="1:1" ht="12.75" x14ac:dyDescent="0.35">
      <c r="A789" s="4"/>
    </row>
    <row r="790" spans="1:1" ht="12.75" x14ac:dyDescent="0.35">
      <c r="A790" s="4"/>
    </row>
    <row r="791" spans="1:1" ht="12.75" x14ac:dyDescent="0.35">
      <c r="A791" s="4"/>
    </row>
    <row r="792" spans="1:1" ht="12.75" x14ac:dyDescent="0.35">
      <c r="A792" s="4"/>
    </row>
    <row r="793" spans="1:1" ht="12.75" x14ac:dyDescent="0.35">
      <c r="A793" s="4"/>
    </row>
    <row r="794" spans="1:1" ht="12.75" x14ac:dyDescent="0.35">
      <c r="A794" s="4"/>
    </row>
    <row r="795" spans="1:1" ht="12.75" x14ac:dyDescent="0.35">
      <c r="A795" s="4"/>
    </row>
    <row r="796" spans="1:1" ht="12.75" x14ac:dyDescent="0.35">
      <c r="A796" s="4"/>
    </row>
    <row r="797" spans="1:1" ht="12.75" x14ac:dyDescent="0.35">
      <c r="A797" s="4"/>
    </row>
    <row r="798" spans="1:1" ht="12.75" x14ac:dyDescent="0.35">
      <c r="A798" s="4"/>
    </row>
    <row r="799" spans="1:1" ht="12.75" x14ac:dyDescent="0.35">
      <c r="A799" s="4"/>
    </row>
    <row r="800" spans="1:1" ht="12.75" x14ac:dyDescent="0.35">
      <c r="A800" s="4"/>
    </row>
    <row r="801" spans="1:1" ht="12.75" x14ac:dyDescent="0.35">
      <c r="A801" s="4"/>
    </row>
    <row r="802" spans="1:1" ht="12.75" x14ac:dyDescent="0.35">
      <c r="A802" s="4"/>
    </row>
    <row r="803" spans="1:1" ht="12.75" x14ac:dyDescent="0.35">
      <c r="A803" s="4"/>
    </row>
    <row r="804" spans="1:1" ht="12.75" x14ac:dyDescent="0.35">
      <c r="A804" s="4"/>
    </row>
    <row r="805" spans="1:1" ht="12.75" x14ac:dyDescent="0.35">
      <c r="A805" s="4"/>
    </row>
    <row r="806" spans="1:1" ht="12.75" x14ac:dyDescent="0.35">
      <c r="A806" s="4"/>
    </row>
    <row r="807" spans="1:1" ht="12.75" x14ac:dyDescent="0.35">
      <c r="A807" s="4"/>
    </row>
    <row r="808" spans="1:1" ht="12.75" x14ac:dyDescent="0.35">
      <c r="A808" s="4"/>
    </row>
    <row r="809" spans="1:1" ht="12.75" x14ac:dyDescent="0.35">
      <c r="A809" s="4"/>
    </row>
    <row r="810" spans="1:1" ht="12.75" x14ac:dyDescent="0.35">
      <c r="A810" s="4"/>
    </row>
    <row r="811" spans="1:1" ht="12.75" x14ac:dyDescent="0.35">
      <c r="A811" s="4"/>
    </row>
    <row r="812" spans="1:1" ht="12.75" x14ac:dyDescent="0.35">
      <c r="A812" s="4"/>
    </row>
    <row r="813" spans="1:1" ht="12.75" x14ac:dyDescent="0.35">
      <c r="A813" s="4"/>
    </row>
    <row r="814" spans="1:1" ht="12.75" x14ac:dyDescent="0.35">
      <c r="A814" s="4"/>
    </row>
    <row r="815" spans="1:1" ht="12.75" x14ac:dyDescent="0.35">
      <c r="A815" s="4"/>
    </row>
    <row r="816" spans="1:1" ht="12.75" x14ac:dyDescent="0.35">
      <c r="A816" s="4"/>
    </row>
    <row r="817" spans="1:1" ht="12.75" x14ac:dyDescent="0.35">
      <c r="A817" s="4"/>
    </row>
    <row r="818" spans="1:1" ht="12.75" x14ac:dyDescent="0.35">
      <c r="A818" s="4"/>
    </row>
    <row r="819" spans="1:1" ht="12.75" x14ac:dyDescent="0.35">
      <c r="A819" s="4"/>
    </row>
    <row r="820" spans="1:1" ht="12.75" x14ac:dyDescent="0.35">
      <c r="A820" s="4"/>
    </row>
    <row r="821" spans="1:1" ht="12.75" x14ac:dyDescent="0.35">
      <c r="A821" s="4"/>
    </row>
    <row r="822" spans="1:1" ht="12.75" x14ac:dyDescent="0.35">
      <c r="A822" s="4"/>
    </row>
    <row r="823" spans="1:1" ht="12.75" x14ac:dyDescent="0.35">
      <c r="A823" s="4"/>
    </row>
    <row r="824" spans="1:1" ht="12.75" x14ac:dyDescent="0.35">
      <c r="A824" s="4"/>
    </row>
    <row r="825" spans="1:1" ht="12.75" x14ac:dyDescent="0.35">
      <c r="A825" s="4"/>
    </row>
    <row r="826" spans="1:1" ht="12.75" x14ac:dyDescent="0.35">
      <c r="A826" s="4"/>
    </row>
    <row r="827" spans="1:1" ht="12.75" x14ac:dyDescent="0.35">
      <c r="A827" s="4"/>
    </row>
    <row r="828" spans="1:1" ht="12.75" x14ac:dyDescent="0.35">
      <c r="A828" s="4"/>
    </row>
    <row r="829" spans="1:1" ht="12.75" x14ac:dyDescent="0.35">
      <c r="A829" s="4"/>
    </row>
    <row r="830" spans="1:1" ht="12.75" x14ac:dyDescent="0.35">
      <c r="A830" s="4"/>
    </row>
    <row r="831" spans="1:1" ht="12.75" x14ac:dyDescent="0.35">
      <c r="A831" s="4"/>
    </row>
    <row r="832" spans="1:1" ht="12.75" x14ac:dyDescent="0.35">
      <c r="A832" s="4"/>
    </row>
    <row r="833" spans="1:1" ht="12.75" x14ac:dyDescent="0.35">
      <c r="A833" s="4"/>
    </row>
    <row r="834" spans="1:1" ht="12.75" x14ac:dyDescent="0.35">
      <c r="A834" s="4"/>
    </row>
    <row r="835" spans="1:1" ht="12.75" x14ac:dyDescent="0.35">
      <c r="A835" s="4"/>
    </row>
    <row r="836" spans="1:1" ht="12.75" x14ac:dyDescent="0.35">
      <c r="A836" s="4"/>
    </row>
    <row r="837" spans="1:1" ht="12.75" x14ac:dyDescent="0.35">
      <c r="A837" s="4"/>
    </row>
    <row r="838" spans="1:1" ht="12.75" x14ac:dyDescent="0.35">
      <c r="A838" s="4"/>
    </row>
    <row r="839" spans="1:1" ht="12.75" x14ac:dyDescent="0.35">
      <c r="A839" s="4"/>
    </row>
    <row r="840" spans="1:1" ht="12.75" x14ac:dyDescent="0.35">
      <c r="A840" s="4"/>
    </row>
    <row r="841" spans="1:1" ht="12.75" x14ac:dyDescent="0.35">
      <c r="A841" s="4"/>
    </row>
    <row r="842" spans="1:1" ht="12.75" x14ac:dyDescent="0.35">
      <c r="A842" s="4"/>
    </row>
    <row r="843" spans="1:1" ht="12.75" x14ac:dyDescent="0.35">
      <c r="A843" s="4"/>
    </row>
    <row r="844" spans="1:1" ht="12.75" x14ac:dyDescent="0.35">
      <c r="A844" s="4"/>
    </row>
    <row r="845" spans="1:1" ht="12.75" x14ac:dyDescent="0.35">
      <c r="A845" s="4"/>
    </row>
    <row r="846" spans="1:1" ht="12.75" x14ac:dyDescent="0.35">
      <c r="A846" s="4"/>
    </row>
    <row r="847" spans="1:1" ht="12.75" x14ac:dyDescent="0.35">
      <c r="A847" s="4"/>
    </row>
    <row r="848" spans="1:1" ht="12.75" x14ac:dyDescent="0.35">
      <c r="A848" s="4"/>
    </row>
    <row r="849" spans="1:1" ht="12.75" x14ac:dyDescent="0.35">
      <c r="A849" s="4"/>
    </row>
    <row r="850" spans="1:1" ht="12.75" x14ac:dyDescent="0.35">
      <c r="A850" s="4"/>
    </row>
    <row r="851" spans="1:1" ht="12.75" x14ac:dyDescent="0.35">
      <c r="A851" s="4"/>
    </row>
    <row r="852" spans="1:1" ht="12.75" x14ac:dyDescent="0.35">
      <c r="A852" s="4"/>
    </row>
    <row r="853" spans="1:1" ht="12.75" x14ac:dyDescent="0.35">
      <c r="A853" s="4"/>
    </row>
    <row r="854" spans="1:1" ht="12.75" x14ac:dyDescent="0.35">
      <c r="A854" s="4"/>
    </row>
    <row r="855" spans="1:1" ht="12.75" x14ac:dyDescent="0.35">
      <c r="A855" s="4"/>
    </row>
    <row r="856" spans="1:1" ht="12.75" x14ac:dyDescent="0.35">
      <c r="A856" s="4"/>
    </row>
    <row r="857" spans="1:1" ht="12.75" x14ac:dyDescent="0.35">
      <c r="A857" s="4"/>
    </row>
    <row r="858" spans="1:1" ht="12.75" x14ac:dyDescent="0.35">
      <c r="A858" s="4"/>
    </row>
    <row r="859" spans="1:1" ht="12.75" x14ac:dyDescent="0.35">
      <c r="A859" s="4"/>
    </row>
    <row r="860" spans="1:1" ht="12.75" x14ac:dyDescent="0.35">
      <c r="A860" s="4"/>
    </row>
    <row r="861" spans="1:1" ht="12.75" x14ac:dyDescent="0.35">
      <c r="A861" s="4"/>
    </row>
    <row r="862" spans="1:1" ht="12.75" x14ac:dyDescent="0.35">
      <c r="A862" s="4"/>
    </row>
    <row r="863" spans="1:1" ht="12.75" x14ac:dyDescent="0.35">
      <c r="A863" s="4"/>
    </row>
    <row r="864" spans="1:1" ht="12.75" x14ac:dyDescent="0.35">
      <c r="A864" s="4"/>
    </row>
    <row r="865" spans="1:1" ht="12.75" x14ac:dyDescent="0.35">
      <c r="A865" s="4"/>
    </row>
    <row r="866" spans="1:1" ht="12.75" x14ac:dyDescent="0.35">
      <c r="A866" s="4"/>
    </row>
    <row r="867" spans="1:1" ht="12.75" x14ac:dyDescent="0.35">
      <c r="A867" s="4"/>
    </row>
    <row r="868" spans="1:1" ht="12.75" x14ac:dyDescent="0.35">
      <c r="A868" s="4"/>
    </row>
    <row r="869" spans="1:1" ht="12.75" x14ac:dyDescent="0.35">
      <c r="A869" s="4"/>
    </row>
    <row r="870" spans="1:1" ht="12.75" x14ac:dyDescent="0.35">
      <c r="A870" s="4"/>
    </row>
    <row r="871" spans="1:1" ht="12.75" x14ac:dyDescent="0.35">
      <c r="A871" s="4"/>
    </row>
    <row r="872" spans="1:1" ht="12.75" x14ac:dyDescent="0.35">
      <c r="A872" s="4"/>
    </row>
    <row r="873" spans="1:1" ht="12.75" x14ac:dyDescent="0.35">
      <c r="A873" s="4"/>
    </row>
    <row r="874" spans="1:1" ht="12.75" x14ac:dyDescent="0.35">
      <c r="A874" s="4"/>
    </row>
    <row r="875" spans="1:1" ht="12.75" x14ac:dyDescent="0.35">
      <c r="A875" s="4"/>
    </row>
    <row r="876" spans="1:1" ht="12.75" x14ac:dyDescent="0.35">
      <c r="A876" s="4"/>
    </row>
    <row r="877" spans="1:1" ht="12.75" x14ac:dyDescent="0.35">
      <c r="A877" s="4"/>
    </row>
    <row r="878" spans="1:1" ht="12.75" x14ac:dyDescent="0.35">
      <c r="A878" s="4"/>
    </row>
    <row r="879" spans="1:1" ht="12.75" x14ac:dyDescent="0.35">
      <c r="A879" s="4"/>
    </row>
    <row r="880" spans="1:1" ht="12.75" x14ac:dyDescent="0.35">
      <c r="A880" s="4"/>
    </row>
    <row r="881" spans="1:1" ht="12.75" x14ac:dyDescent="0.35">
      <c r="A881" s="4"/>
    </row>
    <row r="882" spans="1:1" ht="12.75" x14ac:dyDescent="0.35">
      <c r="A882" s="4"/>
    </row>
    <row r="883" spans="1:1" ht="12.75" x14ac:dyDescent="0.35">
      <c r="A883" s="4"/>
    </row>
    <row r="884" spans="1:1" ht="12.75" x14ac:dyDescent="0.35">
      <c r="A884" s="4"/>
    </row>
    <row r="885" spans="1:1" ht="12.75" x14ac:dyDescent="0.35">
      <c r="A885" s="4"/>
    </row>
    <row r="886" spans="1:1" ht="12.75" x14ac:dyDescent="0.35">
      <c r="A886" s="4"/>
    </row>
    <row r="887" spans="1:1" ht="12.75" x14ac:dyDescent="0.35">
      <c r="A887" s="4"/>
    </row>
    <row r="888" spans="1:1" ht="12.75" x14ac:dyDescent="0.35">
      <c r="A888" s="4"/>
    </row>
    <row r="889" spans="1:1" ht="12.75" x14ac:dyDescent="0.35">
      <c r="A889" s="4"/>
    </row>
    <row r="890" spans="1:1" ht="12.75" x14ac:dyDescent="0.35">
      <c r="A890" s="4"/>
    </row>
    <row r="891" spans="1:1" ht="12.75" x14ac:dyDescent="0.35">
      <c r="A891" s="4"/>
    </row>
    <row r="892" spans="1:1" ht="12.75" x14ac:dyDescent="0.35">
      <c r="A892" s="4"/>
    </row>
    <row r="893" spans="1:1" ht="12.75" x14ac:dyDescent="0.35">
      <c r="A893" s="4"/>
    </row>
    <row r="894" spans="1:1" ht="12.75" x14ac:dyDescent="0.35">
      <c r="A894" s="4"/>
    </row>
    <row r="895" spans="1:1" ht="12.75" x14ac:dyDescent="0.35">
      <c r="A895" s="4"/>
    </row>
    <row r="896" spans="1:1" ht="12.75" x14ac:dyDescent="0.35">
      <c r="A896" s="4"/>
    </row>
    <row r="897" spans="1:1" ht="12.75" x14ac:dyDescent="0.35">
      <c r="A897" s="4"/>
    </row>
    <row r="898" spans="1:1" ht="12.75" x14ac:dyDescent="0.35">
      <c r="A898" s="4"/>
    </row>
    <row r="899" spans="1:1" ht="12.75" x14ac:dyDescent="0.35">
      <c r="A899" s="4"/>
    </row>
    <row r="900" spans="1:1" ht="12.75" x14ac:dyDescent="0.35">
      <c r="A900" s="4"/>
    </row>
    <row r="901" spans="1:1" ht="12.75" x14ac:dyDescent="0.35">
      <c r="A901" s="4"/>
    </row>
    <row r="902" spans="1:1" ht="12.75" x14ac:dyDescent="0.35">
      <c r="A902" s="4"/>
    </row>
    <row r="903" spans="1:1" ht="12.75" x14ac:dyDescent="0.35">
      <c r="A903" s="4"/>
    </row>
    <row r="904" spans="1:1" ht="12.75" x14ac:dyDescent="0.35">
      <c r="A904" s="4"/>
    </row>
    <row r="905" spans="1:1" ht="12.75" x14ac:dyDescent="0.35">
      <c r="A905" s="4"/>
    </row>
    <row r="906" spans="1:1" ht="12.75" x14ac:dyDescent="0.35">
      <c r="A906" s="4"/>
    </row>
    <row r="907" spans="1:1" ht="12.75" x14ac:dyDescent="0.35">
      <c r="A907" s="4"/>
    </row>
    <row r="908" spans="1:1" ht="12.75" x14ac:dyDescent="0.35">
      <c r="A908" s="4"/>
    </row>
    <row r="909" spans="1:1" ht="12.75" x14ac:dyDescent="0.35">
      <c r="A909" s="4"/>
    </row>
    <row r="910" spans="1:1" ht="12.75" x14ac:dyDescent="0.35">
      <c r="A910" s="4"/>
    </row>
    <row r="911" spans="1:1" ht="12.75" x14ac:dyDescent="0.35">
      <c r="A911" s="4"/>
    </row>
    <row r="912" spans="1:1" ht="12.75" x14ac:dyDescent="0.35">
      <c r="A912" s="4"/>
    </row>
    <row r="913" spans="1:1" ht="12.75" x14ac:dyDescent="0.35">
      <c r="A913" s="4"/>
    </row>
    <row r="914" spans="1:1" ht="12.75" x14ac:dyDescent="0.35">
      <c r="A914" s="4"/>
    </row>
    <row r="915" spans="1:1" ht="12.75" x14ac:dyDescent="0.35">
      <c r="A915" s="4"/>
    </row>
    <row r="916" spans="1:1" ht="12.75" x14ac:dyDescent="0.35">
      <c r="A916" s="4"/>
    </row>
    <row r="917" spans="1:1" ht="12.75" x14ac:dyDescent="0.35">
      <c r="A917" s="4"/>
    </row>
    <row r="918" spans="1:1" ht="12.75" x14ac:dyDescent="0.35">
      <c r="A918" s="4"/>
    </row>
    <row r="919" spans="1:1" ht="12.75" x14ac:dyDescent="0.35">
      <c r="A919" s="4"/>
    </row>
    <row r="920" spans="1:1" ht="12.75" x14ac:dyDescent="0.35">
      <c r="A920" s="4"/>
    </row>
    <row r="921" spans="1:1" ht="12.75" x14ac:dyDescent="0.35">
      <c r="A921" s="4"/>
    </row>
    <row r="922" spans="1:1" ht="12.75" x14ac:dyDescent="0.35">
      <c r="A922" s="4"/>
    </row>
    <row r="923" spans="1:1" ht="12.75" x14ac:dyDescent="0.35">
      <c r="A923" s="4"/>
    </row>
    <row r="924" spans="1:1" ht="12.75" x14ac:dyDescent="0.35">
      <c r="A924" s="4"/>
    </row>
    <row r="925" spans="1:1" ht="12.75" x14ac:dyDescent="0.35">
      <c r="A925" s="4"/>
    </row>
    <row r="926" spans="1:1" ht="12.75" x14ac:dyDescent="0.35">
      <c r="A926" s="4"/>
    </row>
    <row r="927" spans="1:1" ht="12.75" x14ac:dyDescent="0.35">
      <c r="A927" s="4"/>
    </row>
    <row r="928" spans="1:1" ht="12.75" x14ac:dyDescent="0.35">
      <c r="A928" s="4"/>
    </row>
    <row r="929" spans="1:1" ht="12.75" x14ac:dyDescent="0.35">
      <c r="A929" s="4"/>
    </row>
    <row r="930" spans="1:1" ht="12.75" x14ac:dyDescent="0.35">
      <c r="A930" s="4"/>
    </row>
    <row r="931" spans="1:1" ht="12.75" x14ac:dyDescent="0.35">
      <c r="A931" s="4"/>
    </row>
    <row r="932" spans="1:1" ht="12.75" x14ac:dyDescent="0.35">
      <c r="A932" s="4"/>
    </row>
    <row r="933" spans="1:1" ht="12.75" x14ac:dyDescent="0.35">
      <c r="A933" s="4"/>
    </row>
    <row r="934" spans="1:1" ht="12.75" x14ac:dyDescent="0.35">
      <c r="A934" s="4"/>
    </row>
    <row r="935" spans="1:1" ht="12.75" x14ac:dyDescent="0.35">
      <c r="A935" s="4"/>
    </row>
    <row r="936" spans="1:1" ht="12.75" x14ac:dyDescent="0.35">
      <c r="A936" s="4"/>
    </row>
    <row r="937" spans="1:1" ht="12.75" x14ac:dyDescent="0.35">
      <c r="A937" s="4"/>
    </row>
    <row r="938" spans="1:1" ht="12.75" x14ac:dyDescent="0.35">
      <c r="A938" s="4"/>
    </row>
    <row r="939" spans="1:1" ht="12.75" x14ac:dyDescent="0.35">
      <c r="A939" s="4"/>
    </row>
    <row r="940" spans="1:1" ht="12.75" x14ac:dyDescent="0.35">
      <c r="A940" s="4"/>
    </row>
    <row r="941" spans="1:1" ht="12.75" x14ac:dyDescent="0.35">
      <c r="A941" s="4"/>
    </row>
    <row r="942" spans="1:1" ht="12.75" x14ac:dyDescent="0.35">
      <c r="A942" s="4"/>
    </row>
    <row r="943" spans="1:1" ht="12.75" x14ac:dyDescent="0.35">
      <c r="A943" s="4"/>
    </row>
    <row r="944" spans="1:1" ht="12.75" x14ac:dyDescent="0.35">
      <c r="A944" s="4"/>
    </row>
    <row r="945" spans="1:1" ht="12.75" x14ac:dyDescent="0.35">
      <c r="A945" s="4"/>
    </row>
    <row r="946" spans="1:1" ht="12.75" x14ac:dyDescent="0.35">
      <c r="A946" s="4"/>
    </row>
    <row r="947" spans="1:1" ht="12.75" x14ac:dyDescent="0.35">
      <c r="A947" s="4"/>
    </row>
    <row r="948" spans="1:1" ht="12.75" x14ac:dyDescent="0.35">
      <c r="A948" s="4"/>
    </row>
    <row r="949" spans="1:1" ht="12.75" x14ac:dyDescent="0.35">
      <c r="A949" s="4"/>
    </row>
    <row r="950" spans="1:1" ht="12.75" x14ac:dyDescent="0.35">
      <c r="A950" s="4"/>
    </row>
    <row r="951" spans="1:1" ht="12.75" x14ac:dyDescent="0.35">
      <c r="A951" s="4"/>
    </row>
    <row r="952" spans="1:1" ht="12.75" x14ac:dyDescent="0.35">
      <c r="A952" s="4"/>
    </row>
    <row r="953" spans="1:1" ht="12.75" x14ac:dyDescent="0.35">
      <c r="A953" s="4"/>
    </row>
    <row r="954" spans="1:1" ht="12.75" x14ac:dyDescent="0.35">
      <c r="A954" s="4"/>
    </row>
    <row r="955" spans="1:1" ht="12.75" x14ac:dyDescent="0.35">
      <c r="A955" s="4"/>
    </row>
    <row r="956" spans="1:1" ht="12.75" x14ac:dyDescent="0.35">
      <c r="A956" s="4"/>
    </row>
    <row r="957" spans="1:1" ht="12.75" x14ac:dyDescent="0.35">
      <c r="A957" s="4"/>
    </row>
    <row r="958" spans="1:1" ht="12.75" x14ac:dyDescent="0.35">
      <c r="A958" s="4"/>
    </row>
    <row r="959" spans="1:1" ht="12.75" x14ac:dyDescent="0.35">
      <c r="A959" s="4"/>
    </row>
    <row r="960" spans="1:1" ht="12.75" x14ac:dyDescent="0.35">
      <c r="A960" s="4"/>
    </row>
    <row r="961" spans="1:1" ht="12.75" x14ac:dyDescent="0.35">
      <c r="A961" s="4"/>
    </row>
    <row r="962" spans="1:1" ht="12.75" x14ac:dyDescent="0.35">
      <c r="A962" s="4"/>
    </row>
    <row r="963" spans="1:1" ht="12.75" x14ac:dyDescent="0.35">
      <c r="A963" s="4"/>
    </row>
    <row r="964" spans="1:1" ht="12.75" x14ac:dyDescent="0.35">
      <c r="A964" s="4"/>
    </row>
    <row r="965" spans="1:1" ht="12.75" x14ac:dyDescent="0.35">
      <c r="A965" s="4"/>
    </row>
    <row r="966" spans="1:1" ht="12.75" x14ac:dyDescent="0.35">
      <c r="A966" s="4"/>
    </row>
    <row r="967" spans="1:1" ht="12.75" x14ac:dyDescent="0.35">
      <c r="A967" s="4"/>
    </row>
    <row r="968" spans="1:1" ht="12.75" x14ac:dyDescent="0.35">
      <c r="A968" s="4"/>
    </row>
    <row r="969" spans="1:1" ht="12.75" x14ac:dyDescent="0.35">
      <c r="A969" s="4"/>
    </row>
    <row r="970" spans="1:1" ht="12.75" x14ac:dyDescent="0.35">
      <c r="A970" s="4"/>
    </row>
    <row r="971" spans="1:1" ht="12.75" x14ac:dyDescent="0.35">
      <c r="A971" s="4"/>
    </row>
    <row r="972" spans="1:1" ht="12.75" x14ac:dyDescent="0.35">
      <c r="A972" s="4"/>
    </row>
    <row r="973" spans="1:1" ht="12.75" x14ac:dyDescent="0.35">
      <c r="A973" s="4"/>
    </row>
    <row r="974" spans="1:1" ht="12.75" x14ac:dyDescent="0.35">
      <c r="A974" s="4"/>
    </row>
    <row r="975" spans="1:1" ht="12.75" x14ac:dyDescent="0.35">
      <c r="A975" s="4"/>
    </row>
    <row r="976" spans="1:1" ht="12.75" x14ac:dyDescent="0.35">
      <c r="A976" s="4"/>
    </row>
    <row r="977" spans="1:1" ht="12.75" x14ac:dyDescent="0.35">
      <c r="A977" s="4"/>
    </row>
    <row r="978" spans="1:1" ht="12.75" x14ac:dyDescent="0.35">
      <c r="A978" s="4"/>
    </row>
    <row r="979" spans="1:1" ht="12.75" x14ac:dyDescent="0.35">
      <c r="A979" s="4"/>
    </row>
    <row r="980" spans="1:1" ht="12.75" x14ac:dyDescent="0.35">
      <c r="A980" s="4"/>
    </row>
    <row r="981" spans="1:1" ht="12.75" x14ac:dyDescent="0.35">
      <c r="A981" s="4"/>
    </row>
    <row r="982" spans="1:1" ht="12.75" x14ac:dyDescent="0.35">
      <c r="A982" s="4"/>
    </row>
    <row r="983" spans="1:1" ht="12.75" x14ac:dyDescent="0.35">
      <c r="A983" s="4"/>
    </row>
    <row r="984" spans="1:1" ht="12.75" x14ac:dyDescent="0.35">
      <c r="A984" s="4"/>
    </row>
    <row r="985" spans="1:1" ht="12.75" x14ac:dyDescent="0.35">
      <c r="A985" s="4"/>
    </row>
    <row r="986" spans="1:1" ht="12.75" x14ac:dyDescent="0.35">
      <c r="A986" s="4"/>
    </row>
    <row r="987" spans="1:1" ht="12.75" x14ac:dyDescent="0.35">
      <c r="A987" s="4"/>
    </row>
    <row r="988" spans="1:1" ht="12.75" x14ac:dyDescent="0.35">
      <c r="A988" s="4"/>
    </row>
    <row r="989" spans="1:1" ht="12.75" x14ac:dyDescent="0.35">
      <c r="A989" s="4"/>
    </row>
    <row r="990" spans="1:1" ht="12.75" x14ac:dyDescent="0.35">
      <c r="A990" s="4"/>
    </row>
    <row r="991" spans="1:1" ht="12.75" x14ac:dyDescent="0.35">
      <c r="A991" s="4"/>
    </row>
    <row r="992" spans="1:1" ht="12.75" x14ac:dyDescent="0.35">
      <c r="A992" s="4"/>
    </row>
    <row r="993" spans="1:1" ht="12.75" x14ac:dyDescent="0.35">
      <c r="A993" s="4"/>
    </row>
    <row r="994" spans="1:1" ht="12.75" x14ac:dyDescent="0.35">
      <c r="A994" s="4"/>
    </row>
    <row r="995" spans="1:1" ht="12.75" x14ac:dyDescent="0.35">
      <c r="A995" s="4"/>
    </row>
    <row r="996" spans="1:1" ht="12.75" x14ac:dyDescent="0.35">
      <c r="A996" s="4"/>
    </row>
    <row r="997" spans="1:1" ht="12.75" x14ac:dyDescent="0.35">
      <c r="A997" s="4"/>
    </row>
    <row r="998" spans="1:1" ht="12.75" x14ac:dyDescent="0.35">
      <c r="A998" s="4"/>
    </row>
    <row r="999" spans="1:1" ht="12.75" x14ac:dyDescent="0.35">
      <c r="A999" s="4"/>
    </row>
    <row r="1000" spans="1:1" ht="12.75" x14ac:dyDescent="0.35">
      <c r="A1000" s="4"/>
    </row>
    <row r="1001" spans="1:1" ht="12.75" x14ac:dyDescent="0.35">
      <c r="A1001" s="4"/>
    </row>
    <row r="1002" spans="1:1" ht="12.75" x14ac:dyDescent="0.35">
      <c r="A1002" s="4"/>
    </row>
    <row r="1003" spans="1:1" ht="12.75" x14ac:dyDescent="0.35">
      <c r="A1003" s="4"/>
    </row>
    <row r="1004" spans="1:1" ht="12.75" x14ac:dyDescent="0.35">
      <c r="A1004" s="4"/>
    </row>
    <row r="1005" spans="1:1" ht="12.75" x14ac:dyDescent="0.35">
      <c r="A1005" s="4"/>
    </row>
    <row r="1006" spans="1:1" ht="12.75" x14ac:dyDescent="0.35">
      <c r="A1006" s="4"/>
    </row>
    <row r="1007" spans="1:1" ht="12.75" x14ac:dyDescent="0.35">
      <c r="A1007" s="4"/>
    </row>
    <row r="1008" spans="1:1" ht="12.75" x14ac:dyDescent="0.35">
      <c r="A1008" s="4"/>
    </row>
    <row r="1009" spans="1:1" ht="12.75" x14ac:dyDescent="0.35">
      <c r="A1009" s="4"/>
    </row>
    <row r="1010" spans="1:1" ht="12.75" x14ac:dyDescent="0.35">
      <c r="A1010" s="4"/>
    </row>
    <row r="1011" spans="1:1" ht="12.75" x14ac:dyDescent="0.35">
      <c r="A1011" s="4"/>
    </row>
  </sheetData>
  <phoneticPr fontId="11"/>
  <dataValidations count="1">
    <dataValidation type="list" allowBlank="1" showErrorMessage="1" sqref="C2:C18" xr:uid="{00000000-0002-0000-0000-000000000000}">
      <formula1>"失敗,成功"</formula1>
    </dataValidation>
  </dataValidations>
  <hyperlinks>
    <hyperlink ref="AA4" r:id="rId1" xr:uid="{00000000-0004-0000-0000-000000000000}"/>
    <hyperlink ref="AA5" r:id="rId2" xr:uid="{00000000-0004-0000-0000-000001000000}"/>
    <hyperlink ref="AA6" r:id="rId3" xr:uid="{00000000-0004-0000-0000-000002000000}"/>
    <hyperlink ref="AA8" r:id="rId4" xr:uid="{00000000-0004-0000-0000-000003000000}"/>
    <hyperlink ref="AA9" r:id="rId5" xr:uid="{00000000-0004-0000-00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過去データ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晴季 岩田</cp:lastModifiedBy>
  <dcterms:modified xsi:type="dcterms:W3CDTF">2026-09-21T03:21:59Z</dcterms:modified>
</cp:coreProperties>
</file>