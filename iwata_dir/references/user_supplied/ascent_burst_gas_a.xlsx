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用シート" sheetId="1" r:id="rId4"/>
    <sheet state="visible" name="Graph1" sheetId="2" r:id="rId5"/>
    <sheet state="visible" name="計算用シート（変更不可）" sheetId="3" r:id="rId6"/>
    <sheet state="visible" name="破裂高度計算（変更不可）" sheetId="4" r:id="rId7"/>
  </sheets>
  <definedNames/>
  <calcPr/>
  <extLst>
    <ext uri="GoogleSheetsCustomDataVersion2">
      <go:sheetsCustomData xmlns:go="http://customooxmlschemas.google.com/" r:id="rId8" roundtripDataChecksum="vwHnjbEnXSevVgb1l1uoTmYpFNtwbVK8JuBohsUdg+U="/>
    </ext>
  </extLst>
</workbook>
</file>

<file path=xl/sharedStrings.xml><?xml version="1.0" encoding="utf-8"?>
<sst xmlns="http://schemas.openxmlformats.org/spreadsheetml/2006/main" count="201" uniqueCount="128">
  <si>
    <t>気球上昇速度</t>
  </si>
  <si>
    <t>オレンジ色部分に入力のこと</t>
  </si>
  <si>
    <t>気球種類[g]</t>
  </si>
  <si>
    <t>上速度係数</t>
  </si>
  <si>
    <t>v. : 上昇速度</t>
  </si>
  <si>
    <t>k. : 上昇速度係数</t>
  </si>
  <si>
    <t>L  : 浮力</t>
  </si>
  <si>
    <t>W: 気球の重さ</t>
  </si>
  <si>
    <t xml:space="preserve">ヘリウム体積×1.114 - （気球とペイロードの重さ）[kg] </t>
  </si>
  <si>
    <t>0℃1気圧での浮力L</t>
  </si>
  <si>
    <t>気球高度</t>
  </si>
  <si>
    <t>気球膜厚</t>
  </si>
  <si>
    <t>気球製作所の上速度係数は本計算式だと23.6で割る必要あり</t>
  </si>
  <si>
    <t>0℃での設計ヘリウム量　入力→</t>
  </si>
  <si>
    <t>ℓ</t>
  </si>
  <si>
    <t>L[kg]=</t>
  </si>
  <si>
    <t>気球種類　　　　　　　　　　選択→</t>
  </si>
  <si>
    <t>g</t>
  </si>
  <si>
    <t>W[kg]=</t>
  </si>
  <si>
    <t xml:space="preserve">上昇係数　 </t>
  </si>
  <si>
    <t>気球以外の全重　　　　　 入力→</t>
  </si>
  <si>
    <t>速度計算結果</t>
  </si>
  <si>
    <t>m/s</t>
  </si>
  <si>
    <t>破裂予測高度</t>
  </si>
  <si>
    <t>右表5μm膜厚参照</t>
  </si>
  <si>
    <t>s</t>
  </si>
  <si>
    <t>5μmが破裂ライン</t>
  </si>
  <si>
    <t>PERC成層圏気球用ヘリウムガス量計算シート</t>
  </si>
  <si>
    <t>設定値</t>
  </si>
  <si>
    <t>備考</t>
  </si>
  <si>
    <t>ガスボンベ容積</t>
  </si>
  <si>
    <t>ガスボンベの刻印を確認すること，複数ボンベを使う場合は平均容積を入れる</t>
  </si>
  <si>
    <t>気球内圧力</t>
  </si>
  <si>
    <t>hPa</t>
  </si>
  <si>
    <t>通常は大気圧と同じで良い．気球内圧を測定している場合はその値</t>
  </si>
  <si>
    <t>大気圧</t>
  </si>
  <si>
    <t>当日の大気圧をできるだけ正確に</t>
  </si>
  <si>
    <t>気球の中に入れたいガス量</t>
  </si>
  <si>
    <t>ゴム気球の設計書を確認すること</t>
  </si>
  <si>
    <t>気球の設計時の温度</t>
  </si>
  <si>
    <t>℃</t>
  </si>
  <si>
    <t>外気温</t>
  </si>
  <si>
    <t>気球に入れたいガス量を設計したときの温度</t>
  </si>
  <si>
    <t>高圧ガスボンベ内に残す圧力</t>
  </si>
  <si>
    <t>MPa</t>
  </si>
  <si>
    <t>少なくとも0.2MPa以上は残して返却すること．2MPa以下はかなり時間がかかる</t>
  </si>
  <si>
    <t>計算値</t>
  </si>
  <si>
    <t>入れなければならないガス量</t>
  </si>
  <si>
    <t>その日の気温及び気球ない圧力を考慮したガス量</t>
  </si>
  <si>
    <t>必要となるボンベ本数</t>
  </si>
  <si>
    <t>本</t>
  </si>
  <si>
    <t>端数ボンベ内の残圧</t>
  </si>
  <si>
    <t>ボンベ1次圧力を確認するときは一端ガスを止めてから確認すること</t>
  </si>
  <si>
    <t>圧縮ガス封入量計算シート</t>
  </si>
  <si>
    <t>PV=nRT</t>
  </si>
  <si>
    <t>※断熱圧縮</t>
  </si>
  <si>
    <t>圧力容器ガス封入量V2=容器の容積V1*(封入圧P2/大気圧P1)*((273.15+封入温度T2)/(273.15+大気圧温度T1))</t>
  </si>
  <si>
    <t>入れたいガス量がV1</t>
  </si>
  <si>
    <t>断熱圧縮</t>
  </si>
  <si>
    <t>T1/T2=(V2/V1)^k-1</t>
  </si>
  <si>
    <r>
      <rPr>
        <rFont val="Calibri"/>
        <color theme="1"/>
        <sz val="10.0"/>
      </rPr>
      <t xml:space="preserve">表　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主な気体のｍ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（概略値）</t>
    </r>
    <r>
      <rPr>
        <rFont val="Calibri"/>
        <color theme="1"/>
        <sz val="10.0"/>
      </rPr>
      <t xml:space="preserve"> </t>
    </r>
    <r>
      <rPr>
        <rFont val="Calibri"/>
        <color theme="1"/>
        <sz val="10.0"/>
      </rPr>
      <t>と比熱比γ</t>
    </r>
  </si>
  <si>
    <t>V1</t>
  </si>
  <si>
    <t>L</t>
  </si>
  <si>
    <t>1000L=1m3</t>
  </si>
  <si>
    <t>P2</t>
  </si>
  <si>
    <t>V3</t>
  </si>
  <si>
    <t>m3</t>
  </si>
  <si>
    <t>T1</t>
  </si>
  <si>
    <t>設計時温度</t>
  </si>
  <si>
    <t>物質名</t>
  </si>
  <si>
    <t>化学式</t>
  </si>
  <si>
    <r>
      <rPr>
        <rFont val="Calibri"/>
        <color theme="1"/>
        <sz val="10.0"/>
      </rPr>
      <t>ｍ</t>
    </r>
    <r>
      <rPr>
        <rFont val="Calibri"/>
        <color theme="1"/>
        <sz val="10.0"/>
      </rPr>
      <t xml:space="preserve"> (g/mol)</t>
    </r>
  </si>
  <si>
    <t>比熱比γ</t>
  </si>
  <si>
    <t>T2</t>
  </si>
  <si>
    <t>水素</t>
  </si>
  <si>
    <t>H2</t>
  </si>
  <si>
    <t>P1</t>
  </si>
  <si>
    <t>0.101325MPa</t>
  </si>
  <si>
    <t>入れたい量</t>
  </si>
  <si>
    <t>ヘリウム</t>
  </si>
  <si>
    <t>He</t>
  </si>
  <si>
    <t>その時の外気温</t>
  </si>
  <si>
    <t>V2</t>
  </si>
  <si>
    <t>実際の量</t>
  </si>
  <si>
    <t>窒素</t>
  </si>
  <si>
    <t>N2</t>
  </si>
  <si>
    <t>設計時の温度</t>
  </si>
  <si>
    <t>酸素</t>
  </si>
  <si>
    <t>O2</t>
  </si>
  <si>
    <t>その差</t>
  </si>
  <si>
    <t>二酸化炭素</t>
  </si>
  <si>
    <t>CO2</t>
  </si>
  <si>
    <t>cm3</t>
  </si>
  <si>
    <t>空気</t>
  </si>
  <si>
    <t xml:space="preserve">  -</t>
  </si>
  <si>
    <t>V1/T1=V2/T2</t>
  </si>
  <si>
    <t>47Lボンベ内の残量</t>
  </si>
  <si>
    <t>実験時の外気温でのボリューム</t>
  </si>
  <si>
    <t>V2=T2V1/T1</t>
  </si>
  <si>
    <t>47Lボンベの使用量</t>
  </si>
  <si>
    <t>差</t>
  </si>
  <si>
    <t>設計時との差</t>
  </si>
  <si>
    <t>V</t>
  </si>
  <si>
    <t>47Lボンベの容量</t>
  </si>
  <si>
    <t>V2/V1=P2/P1*T2/T1</t>
  </si>
  <si>
    <t>大気圧で普段はOK</t>
  </si>
  <si>
    <t>P2=V2/V1*P1*T1/T2</t>
  </si>
  <si>
    <t>入れたいガス量</t>
  </si>
  <si>
    <t>ボンベ内に残す圧力</t>
  </si>
  <si>
    <t>ボンベ本数</t>
  </si>
  <si>
    <t>残圧</t>
  </si>
  <si>
    <t>Mpa</t>
  </si>
  <si>
    <t>高度(km)</t>
  </si>
  <si>
    <t>標準大気圧</t>
  </si>
  <si>
    <t>超高層大気圧</t>
  </si>
  <si>
    <t>体積膨張率</t>
  </si>
  <si>
    <t>表面積膨張率</t>
  </si>
  <si>
    <t>標準厚さ</t>
  </si>
  <si>
    <t>装填時厚さ</t>
  </si>
  <si>
    <t>標準体積</t>
  </si>
  <si>
    <t>装填体積</t>
  </si>
  <si>
    <t>体積膨張</t>
  </si>
  <si>
    <t>表面積膨張</t>
  </si>
  <si>
    <t>品名</t>
  </si>
  <si>
    <t>直径（長さ）[m]</t>
  </si>
  <si>
    <t>標準体積[ℓ]</t>
  </si>
  <si>
    <r>
      <rPr>
        <rFont val="Calibri"/>
        <color theme="1"/>
        <sz val="11.0"/>
      </rPr>
      <t>標準表面積[m</t>
    </r>
    <r>
      <rPr>
        <rFont val="Calibri"/>
        <color theme="1"/>
        <sz val="11.0"/>
        <vertAlign val="superscript"/>
      </rPr>
      <t>2</t>
    </r>
    <r>
      <rPr>
        <rFont val="Calibri"/>
        <color theme="1"/>
        <sz val="11.0"/>
      </rPr>
      <t>]</t>
    </r>
  </si>
  <si>
    <t>ゴム気球の厚さは130μm、5μmになると割れる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</si>
</sst>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 "/>
    <numFmt numFmtId="165" formatCode="0.00_ "/>
    <numFmt numFmtId="166" formatCode="0.0"/>
    <numFmt numFmtId="167" formatCode="0.0_);[Red]\(0.0\)"/>
    <numFmt numFmtId="168" formatCode="0.00000"/>
    <numFmt numFmtId="169" formatCode="0_ "/>
  </numFmts>
  <fonts count="8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rgb="FFFA7D00"/>
      <name val="Calibri"/>
    </font>
    <font>
      <b/>
      <sz val="10.0"/>
      <color theme="1"/>
      <name val="Calibri"/>
    </font>
    <font>
      <b/>
      <sz val="10.0"/>
      <color rgb="FF3F3F3F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2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center"/>
    </xf>
    <xf borderId="0" fillId="2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6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9" fillId="0" fontId="4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vertical="center"/>
    </xf>
    <xf borderId="14" fillId="0" fontId="4" numFmtId="0" xfId="0" applyAlignment="1" applyBorder="1" applyFont="1">
      <alignment horizontal="center" vertical="center"/>
    </xf>
    <xf borderId="21" fillId="0" fontId="1" numFmtId="164" xfId="0" applyAlignment="1" applyBorder="1" applyFont="1" applyNumberFormat="1">
      <alignment vertical="center"/>
    </xf>
    <xf borderId="22" fillId="0" fontId="4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vertical="center"/>
    </xf>
    <xf borderId="24" fillId="0" fontId="4" numFmtId="0" xfId="0" applyAlignment="1" applyBorder="1" applyFont="1">
      <alignment horizontal="center" vertical="center"/>
    </xf>
    <xf borderId="25" fillId="0" fontId="1" numFmtId="164" xfId="0" applyAlignment="1" applyBorder="1" applyFont="1" applyNumberFormat="1">
      <alignment vertical="center"/>
    </xf>
    <xf borderId="12" fillId="0" fontId="3" numFmtId="0" xfId="0" applyAlignment="1" applyBorder="1" applyFont="1">
      <alignment vertical="center"/>
    </xf>
    <xf borderId="12" fillId="0" fontId="3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right" vertical="center"/>
    </xf>
    <xf borderId="12" fillId="0" fontId="4" numFmtId="0" xfId="0" applyAlignment="1" applyBorder="1" applyFont="1">
      <alignment vertical="center"/>
    </xf>
    <xf borderId="12" fillId="0" fontId="4" numFmtId="165" xfId="0" applyAlignment="1" applyBorder="1" applyFont="1" applyNumberFormat="1">
      <alignment vertical="center"/>
    </xf>
    <xf borderId="26" fillId="0" fontId="4" numFmtId="165" xfId="0" applyAlignment="1" applyBorder="1" applyFont="1" applyNumberFormat="1">
      <alignment horizontal="center" vertical="center"/>
    </xf>
    <xf borderId="24" fillId="0" fontId="2" numFmtId="0" xfId="0" applyBorder="1" applyFont="1"/>
    <xf borderId="0" fillId="0" fontId="1" numFmtId="0" xfId="0" applyAlignment="1" applyFont="1">
      <alignment horizontal="left" readingOrder="0" vertical="center"/>
    </xf>
    <xf borderId="27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8" fillId="0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vertical="center"/>
    </xf>
    <xf borderId="30" fillId="0" fontId="4" numFmtId="0" xfId="0" applyAlignment="1" applyBorder="1" applyFont="1">
      <alignment horizontal="center" vertical="center"/>
    </xf>
    <xf borderId="31" fillId="0" fontId="1" numFmtId="164" xfId="0" applyAlignment="1" applyBorder="1" applyFont="1" applyNumberFormat="1">
      <alignment vertical="center"/>
    </xf>
    <xf borderId="32" fillId="0" fontId="4" numFmtId="0" xfId="0" applyAlignment="1" applyBorder="1" applyFont="1">
      <alignment horizontal="center" vertical="center"/>
    </xf>
    <xf borderId="33" fillId="0" fontId="1" numFmtId="164" xfId="0" applyAlignment="1" applyBorder="1" applyFont="1" applyNumberFormat="1">
      <alignment vertical="center"/>
    </xf>
    <xf borderId="4" fillId="0" fontId="1" numFmtId="0" xfId="0" applyAlignment="1" applyBorder="1" applyFont="1">
      <alignment horizontal="center" vertical="center"/>
    </xf>
    <xf borderId="12" fillId="2" fontId="4" numFmtId="0" xfId="0" applyAlignment="1" applyBorder="1" applyFont="1">
      <alignment vertical="center"/>
    </xf>
    <xf borderId="26" fillId="2" fontId="4" numFmtId="0" xfId="0" applyAlignment="1" applyBorder="1" applyFont="1">
      <alignment horizontal="left" vertical="center"/>
    </xf>
    <xf borderId="34" fillId="0" fontId="2" numFmtId="0" xfId="0" applyBorder="1" applyFont="1"/>
    <xf borderId="12" fillId="2" fontId="3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35" fillId="0" fontId="2" numFmtId="0" xfId="0" applyBorder="1" applyFont="1"/>
    <xf borderId="8" fillId="0" fontId="2" numFmtId="0" xfId="0" applyBorder="1" applyFont="1"/>
    <xf borderId="13" fillId="0" fontId="2" numFmtId="0" xfId="0" applyBorder="1" applyFont="1"/>
    <xf borderId="36" fillId="0" fontId="2" numFmtId="0" xfId="0" applyBorder="1" applyFont="1"/>
    <xf borderId="14" fillId="0" fontId="2" numFmtId="0" xfId="0" applyBorder="1" applyFont="1"/>
    <xf borderId="12" fillId="2" fontId="3" numFmtId="0" xfId="0" applyAlignment="1" applyBorder="1" applyFont="1">
      <alignment readingOrder="0" vertical="center"/>
    </xf>
    <xf borderId="12" fillId="2" fontId="5" numFmtId="0" xfId="0" applyAlignment="1" applyBorder="1" applyFont="1">
      <alignment vertical="center"/>
    </xf>
    <xf borderId="26" fillId="2" fontId="5" numFmtId="0" xfId="0" applyAlignment="1" applyBorder="1" applyFont="1">
      <alignment horizontal="left" vertical="center"/>
    </xf>
    <xf borderId="12" fillId="2" fontId="5" numFmtId="1" xfId="0" applyAlignment="1" applyBorder="1" applyFont="1" applyNumberFormat="1">
      <alignment vertical="center"/>
    </xf>
    <xf borderId="12" fillId="2" fontId="5" numFmtId="166" xfId="0" applyAlignment="1" applyBorder="1" applyFont="1" applyNumberFormat="1">
      <alignment vertical="center"/>
    </xf>
    <xf borderId="0" fillId="0" fontId="6" numFmtId="0" xfId="0" applyFont="1"/>
    <xf borderId="0" fillId="0" fontId="1" numFmtId="0" xfId="0" applyAlignment="1" applyFont="1">
      <alignment horizontal="center" vertical="center"/>
    </xf>
    <xf borderId="0" fillId="0" fontId="7" numFmtId="166" xfId="0" applyFont="1" applyNumberFormat="1"/>
    <xf borderId="0" fillId="0" fontId="6" numFmtId="166" xfId="0" applyFont="1" applyNumberFormat="1"/>
    <xf borderId="0" fillId="0" fontId="7" numFmtId="1" xfId="0" applyFont="1" applyNumberFormat="1"/>
    <xf borderId="0" fillId="0" fontId="7" numFmtId="11" xfId="0" applyFont="1" applyNumberFormat="1"/>
    <xf borderId="0" fillId="0" fontId="7" numFmtId="2" xfId="0" applyFont="1" applyNumberFormat="1"/>
    <xf borderId="0" fillId="0" fontId="7" numFmtId="167" xfId="0" applyFont="1" applyNumberFormat="1"/>
    <xf borderId="0" fillId="0" fontId="7" numFmtId="166" xfId="0" applyAlignment="1" applyFont="1" applyNumberFormat="1">
      <alignment horizontal="center"/>
    </xf>
    <xf borderId="0" fillId="0" fontId="7" numFmtId="168" xfId="0" applyFont="1" applyNumberFormat="1"/>
    <xf borderId="37" fillId="3" fontId="7" numFmtId="166" xfId="0" applyBorder="1" applyFill="1" applyFont="1" applyNumberFormat="1"/>
    <xf borderId="37" fillId="3" fontId="7" numFmtId="0" xfId="0" applyBorder="1" applyFont="1"/>
    <xf borderId="0" fillId="0" fontId="7" numFmtId="164" xfId="0" applyFont="1" applyNumberFormat="1"/>
    <xf borderId="0" fillId="0" fontId="7" numFmtId="169" xfId="0" applyFont="1" applyNumberFormat="1"/>
    <xf borderId="0" fillId="0" fontId="7" numFmtId="165" xfId="0" applyFont="1" applyNumberFormat="1"/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V3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'計算用シート（変更不可）'!$K$9:$K$155</c:f>
            </c:numRef>
          </c:xVal>
          <c:yVal>
            <c:numRef>
              <c:f>'計算用シート（変更不可）'!$L$9:$L$155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647730"/>
        <c:axId val="1695619372"/>
      </c:scatterChart>
      <c:valAx>
        <c:axId val="8896477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+mn-lt"/>
                  </a:rPr>
                  <a:t>ボンベ残圧　MPa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+mn-lt"/>
              </a:defRPr>
            </a:pPr>
          </a:p>
        </c:txPr>
        <c:crossAx val="1695619372"/>
        <c:majorUnit val="1.0"/>
      </c:valAx>
      <c:valAx>
        <c:axId val="1695619372"/>
        <c:scaling>
          <c:orientation val="minMax"/>
          <c:max val="7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+mn-lt"/>
                  </a:rPr>
                  <a:t>出て行ったガス量　L</a:t>
                </a:r>
              </a:p>
            </c:rich>
          </c:tx>
          <c:overlay val="0"/>
        </c:title>
        <c:numFmt formatCode="#,##0_);[Red]\(#,##0\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+mn-lt"/>
              </a:defRPr>
            </a:pPr>
          </a:p>
        </c:txPr>
        <c:crossAx val="889647730"/>
        <c:majorUnit val="500.0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1190625</xdr:colOff>
      <xdr:row>3</xdr:row>
      <xdr:rowOff>38100</xdr:rowOff>
    </xdr:from>
    <xdr:ext cx="1524000" cy="647700"/>
    <xdr:pic>
      <xdr:nvPicPr>
        <xdr:cNvPr id="0" name="image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82677260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</xdr:colOff>
      <xdr:row>45</xdr:row>
      <xdr:rowOff>47625</xdr:rowOff>
    </xdr:from>
    <xdr:ext cx="5610225" cy="30432375"/>
    <xdr:pic>
      <xdr:nvPicPr>
        <xdr:cNvPr descr="http://examist.jp/wp-content/uploads/physics/thermodynamics/boyle-charles20170310@2x.png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25</xdr:row>
      <xdr:rowOff>142875</xdr:rowOff>
    </xdr:from>
    <xdr:ext cx="5105400" cy="5200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31</xdr:row>
      <xdr:rowOff>85725</xdr:rowOff>
    </xdr:from>
    <xdr:ext cx="2914650" cy="5524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36</xdr:row>
      <xdr:rowOff>114300</xdr:rowOff>
    </xdr:from>
    <xdr:ext cx="2952750" cy="6296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.71"/>
    <col customWidth="1" min="3" max="3" width="57.14"/>
    <col customWidth="1" min="4" max="4" width="18.86"/>
    <col customWidth="1" min="5" max="5" width="5.14"/>
    <col customWidth="1" min="6" max="6" width="12.71"/>
    <col customWidth="1" min="7" max="7" width="12.86"/>
    <col customWidth="1" min="8" max="8" width="3.0"/>
    <col customWidth="1" min="9" max="9" width="2.57"/>
    <col customWidth="1" min="10" max="10" width="10.29"/>
    <col customWidth="1" min="11" max="11" width="9.71"/>
    <col customWidth="1" min="12" max="12" width="9.57"/>
    <col customWidth="1" min="13" max="13" width="9.71"/>
    <col customWidth="1" min="14" max="14" width="17.57"/>
    <col customWidth="1" min="15" max="15" width="3.43"/>
    <col customWidth="1" min="16" max="25" width="8.71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/>
      <c r="C2" s="4" t="s">
        <v>0</v>
      </c>
      <c r="D2" s="5"/>
      <c r="E2" s="6"/>
      <c r="F2" s="7"/>
      <c r="G2" s="6"/>
      <c r="H2" s="8"/>
      <c r="I2" s="1"/>
      <c r="J2" s="9" t="s">
        <v>1</v>
      </c>
      <c r="N2" s="10"/>
      <c r="O2" s="10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1"/>
      <c r="C3" s="1"/>
      <c r="D3" s="1"/>
      <c r="E3" s="1"/>
      <c r="F3" s="12" t="s">
        <v>2</v>
      </c>
      <c r="G3" s="12" t="s">
        <v>3</v>
      </c>
      <c r="H3" s="13"/>
      <c r="I3" s="1"/>
      <c r="N3" s="10"/>
      <c r="O3" s="10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1"/>
      <c r="C4" s="14"/>
      <c r="D4" s="15" t="s">
        <v>4</v>
      </c>
      <c r="E4" s="1"/>
      <c r="F4" s="16">
        <v>1000.0</v>
      </c>
      <c r="G4" s="16">
        <v>140.0</v>
      </c>
      <c r="H4" s="13"/>
      <c r="I4" s="1"/>
      <c r="N4" s="10"/>
      <c r="O4" s="10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1"/>
      <c r="C5" s="17"/>
      <c r="D5" s="18" t="s">
        <v>5</v>
      </c>
      <c r="E5" s="1"/>
      <c r="F5" s="19">
        <v>1200.0</v>
      </c>
      <c r="G5" s="19">
        <v>140.0</v>
      </c>
      <c r="H5" s="13"/>
      <c r="I5" s="1"/>
      <c r="N5" s="10"/>
      <c r="O5" s="10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1"/>
      <c r="C6" s="17"/>
      <c r="D6" s="18" t="s">
        <v>6</v>
      </c>
      <c r="E6" s="1"/>
      <c r="F6" s="19">
        <v>1500.0</v>
      </c>
      <c r="G6" s="19">
        <v>140.0</v>
      </c>
      <c r="H6" s="13"/>
      <c r="I6" s="1"/>
      <c r="N6" s="10"/>
      <c r="O6" s="10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1"/>
      <c r="C7" s="20"/>
      <c r="D7" s="21" t="s">
        <v>7</v>
      </c>
      <c r="E7" s="1"/>
      <c r="F7" s="19">
        <v>2000.0</v>
      </c>
      <c r="G7" s="19">
        <v>150.0</v>
      </c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1"/>
      <c r="C8" s="1" t="s">
        <v>8</v>
      </c>
      <c r="D8" s="1" t="s">
        <v>9</v>
      </c>
      <c r="E8" s="1"/>
      <c r="F8" s="19">
        <v>3000.0</v>
      </c>
      <c r="G8" s="19">
        <v>158.0</v>
      </c>
      <c r="H8" s="13"/>
      <c r="I8" s="1"/>
      <c r="J8" s="22" t="s">
        <v>10</v>
      </c>
      <c r="K8" s="23" t="s">
        <v>11</v>
      </c>
      <c r="L8" s="24" t="s">
        <v>10</v>
      </c>
      <c r="M8" s="25" t="s">
        <v>11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1"/>
      <c r="C9" s="2" t="s">
        <v>12</v>
      </c>
      <c r="E9" s="1"/>
      <c r="F9" s="19">
        <v>4200.0</v>
      </c>
      <c r="G9" s="19">
        <v>168.0</v>
      </c>
      <c r="H9" s="13"/>
      <c r="I9" s="1"/>
      <c r="J9" s="26">
        <f>'破裂高度計算（変更不可）'!A5</f>
        <v>40</v>
      </c>
      <c r="K9" s="27">
        <f>'破裂高度計算（変更不可）'!G5</f>
        <v>2.799363088</v>
      </c>
      <c r="L9" s="28">
        <f>'破裂高度計算（変更不可）'!A14</f>
        <v>29</v>
      </c>
      <c r="M9" s="29">
        <f>'破裂高度計算（変更不可）'!G14</f>
        <v>8.012289025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1"/>
      <c r="C10" s="2"/>
      <c r="D10" s="2"/>
      <c r="E10" s="1"/>
      <c r="F10" s="2"/>
      <c r="G10" s="1"/>
      <c r="H10" s="13"/>
      <c r="I10" s="1"/>
      <c r="J10" s="30">
        <f>'破裂高度計算（変更不可）'!A6</f>
        <v>35</v>
      </c>
      <c r="K10" s="31">
        <f>'破裂高度計算（変更不可）'!G6</f>
        <v>4.445310929</v>
      </c>
      <c r="L10" s="32">
        <f>'破裂高度計算（変更不可）'!A15</f>
        <v>28.75</v>
      </c>
      <c r="M10" s="33">
        <f>'破裂高度計算（変更不可）'!G15</f>
        <v>7.856322087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1"/>
      <c r="C11" s="34" t="s">
        <v>13</v>
      </c>
      <c r="D11" s="35">
        <v>5000.0</v>
      </c>
      <c r="E11" s="34" t="s">
        <v>14</v>
      </c>
      <c r="F11" s="36" t="s">
        <v>15</v>
      </c>
      <c r="G11" s="19">
        <f>D11/1000*1.114-D14/1000-D12/1000</f>
        <v>2.07</v>
      </c>
      <c r="H11" s="13"/>
      <c r="I11" s="1"/>
      <c r="J11" s="30">
        <f>'破裂高度計算（変更不可）'!A7</f>
        <v>32.2</v>
      </c>
      <c r="K11" s="31">
        <f>'破裂高度計算（変更不可）'!G7</f>
        <v>5.830658378</v>
      </c>
      <c r="L11" s="32">
        <f>'破裂高度計算（変更不可）'!A16</f>
        <v>28.5</v>
      </c>
      <c r="M11" s="33">
        <f>'破裂高度計算（変更不可）'!G16</f>
        <v>8.049127216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1"/>
      <c r="C12" s="34" t="s">
        <v>16</v>
      </c>
      <c r="D12" s="35">
        <v>1500.0</v>
      </c>
      <c r="E12" s="34" t="s">
        <v>17</v>
      </c>
      <c r="F12" s="36" t="s">
        <v>18</v>
      </c>
      <c r="G12" s="19">
        <f>D14/1000</f>
        <v>2</v>
      </c>
      <c r="H12" s="13"/>
      <c r="I12" s="1"/>
      <c r="J12" s="30">
        <f>'破裂高度計算（変更不可）'!A8</f>
        <v>30.5</v>
      </c>
      <c r="K12" s="31">
        <f>'破裂高度計算（変更不可）'!G8</f>
        <v>6.431764007</v>
      </c>
      <c r="L12" s="32">
        <f>'破裂高度計算（変更不可）'!A17</f>
        <v>28.25</v>
      </c>
      <c r="M12" s="33">
        <f>'破裂高度計算（変更不可）'!G17</f>
        <v>8.239650092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1"/>
      <c r="C13" s="37" t="s">
        <v>19</v>
      </c>
      <c r="D13" s="37">
        <f>LOOKUP(D12,F4:F9,G4:G9)</f>
        <v>140</v>
      </c>
      <c r="E13" s="37"/>
      <c r="F13" s="2"/>
      <c r="G13" s="1"/>
      <c r="H13" s="13"/>
      <c r="I13" s="1"/>
      <c r="J13" s="30">
        <f>'破裂高度計算（変更不可）'!A9</f>
        <v>30.25</v>
      </c>
      <c r="K13" s="31">
        <f>'破裂高度計算（変更不可）'!G9</f>
        <v>6.644408121</v>
      </c>
      <c r="L13" s="32">
        <f>'破裂高度計算（変更不可）'!A18</f>
        <v>28</v>
      </c>
      <c r="M13" s="33">
        <f>'破裂高度計算（変更不可）'!G18</f>
        <v>8.857454319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1"/>
      <c r="C14" s="34" t="s">
        <v>20</v>
      </c>
      <c r="D14" s="35">
        <v>2000.0</v>
      </c>
      <c r="E14" s="34" t="s">
        <v>17</v>
      </c>
      <c r="F14" s="2"/>
      <c r="G14" s="1"/>
      <c r="H14" s="13"/>
      <c r="I14" s="1"/>
      <c r="J14" s="30">
        <f>'破裂高度計算（変更不可）'!A10</f>
        <v>30</v>
      </c>
      <c r="K14" s="31">
        <f>'破裂高度計算（変更不可）'!G10</f>
        <v>7.250915899</v>
      </c>
      <c r="L14" s="32">
        <f>'破裂高度計算（変更不可）'!A19</f>
        <v>26</v>
      </c>
      <c r="M14" s="33">
        <f>'破裂高度計算（変更不可）'!G19</f>
        <v>10.84096664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1"/>
      <c r="C15" s="37" t="s">
        <v>21</v>
      </c>
      <c r="D15" s="38">
        <f>G4/23.6*G11^(1/2)/(G12+G11)^(1/3)</f>
        <v>5.34568137</v>
      </c>
      <c r="E15" s="37" t="s">
        <v>22</v>
      </c>
      <c r="F15" s="2"/>
      <c r="G15" s="1"/>
      <c r="H15" s="13"/>
      <c r="I15" s="1"/>
      <c r="J15" s="30">
        <f>'破裂高度計算（変更不可）'!A11</f>
        <v>29.75</v>
      </c>
      <c r="K15" s="31">
        <f>'破裂高度計算（変更不可）'!G11</f>
        <v>7.059847629</v>
      </c>
      <c r="L15" s="32">
        <f>'破裂高度計算（変更不可）'!A20</f>
        <v>23.5</v>
      </c>
      <c r="M15" s="33">
        <f>'破裂高度計算（変更不可）'!G20</f>
        <v>13.37860827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1"/>
      <c r="C16" s="37" t="s">
        <v>23</v>
      </c>
      <c r="D16" s="39" t="s">
        <v>24</v>
      </c>
      <c r="E16" s="40"/>
      <c r="F16" s="41" t="s">
        <v>25</v>
      </c>
      <c r="G16" s="1"/>
      <c r="H16" s="13"/>
      <c r="I16" s="1"/>
      <c r="J16" s="30">
        <f>'破裂高度計算（変更不可）'!A12</f>
        <v>29.5</v>
      </c>
      <c r="K16" s="31">
        <f>'破裂高度計算（変更不可）'!G12</f>
        <v>7.263025992</v>
      </c>
      <c r="L16" s="32">
        <f>'破裂高度計算（変更不可）'!A21</f>
        <v>22</v>
      </c>
      <c r="M16" s="33">
        <f>'破裂高度計算（変更不可）'!G21</f>
        <v>16.33508277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2"/>
      <c r="C17" s="43"/>
      <c r="D17" s="43"/>
      <c r="E17" s="43"/>
      <c r="F17" s="44"/>
      <c r="G17" s="43"/>
      <c r="H17" s="45"/>
      <c r="I17" s="1"/>
      <c r="J17" s="46">
        <f>'破裂高度計算（変更不可）'!A13</f>
        <v>29.25</v>
      </c>
      <c r="K17" s="47">
        <f>'破裂高度計算（変更不可）'!G13</f>
        <v>7.463400999</v>
      </c>
      <c r="L17" s="48">
        <f>'破裂高度計算（変更不可）'!A22</f>
        <v>20.5</v>
      </c>
      <c r="M17" s="49">
        <f>'破裂高度計算（変更不可）'!G22</f>
        <v>18.80659205</v>
      </c>
      <c r="N17" s="50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3"/>
      <c r="C19" s="4" t="s">
        <v>27</v>
      </c>
      <c r="D19" s="5"/>
      <c r="E19" s="5"/>
      <c r="F19" s="5"/>
      <c r="G19" s="6"/>
      <c r="H19" s="6"/>
      <c r="I19" s="6"/>
      <c r="J19" s="6"/>
      <c r="K19" s="6"/>
      <c r="L19" s="6"/>
      <c r="M19" s="6"/>
      <c r="N19" s="6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1"/>
      <c r="G20" s="1"/>
      <c r="H20" s="1"/>
      <c r="I20" s="1"/>
      <c r="J20" s="1"/>
      <c r="K20" s="1"/>
      <c r="L20" s="1"/>
      <c r="M20" s="1"/>
      <c r="N20" s="1"/>
      <c r="O20" s="13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3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1"/>
      <c r="C22" s="51" t="s">
        <v>28</v>
      </c>
      <c r="D22" s="51"/>
      <c r="E22" s="51"/>
      <c r="F22" s="52" t="s">
        <v>29</v>
      </c>
      <c r="G22" s="53"/>
      <c r="H22" s="53"/>
      <c r="I22" s="53"/>
      <c r="J22" s="53"/>
      <c r="K22" s="53"/>
      <c r="L22" s="53"/>
      <c r="M22" s="53"/>
      <c r="N22" s="40"/>
      <c r="O22" s="13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1"/>
      <c r="C23" s="54" t="s">
        <v>30</v>
      </c>
      <c r="D23" s="54">
        <v>47.0</v>
      </c>
      <c r="E23" s="54" t="s">
        <v>14</v>
      </c>
      <c r="F23" s="52" t="s">
        <v>31</v>
      </c>
      <c r="G23" s="53"/>
      <c r="H23" s="53"/>
      <c r="I23" s="53"/>
      <c r="J23" s="53"/>
      <c r="K23" s="53"/>
      <c r="L23" s="53"/>
      <c r="M23" s="53"/>
      <c r="N23" s="40"/>
      <c r="O23" s="13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1"/>
      <c r="C24" s="51" t="s">
        <v>32</v>
      </c>
      <c r="D24" s="54">
        <v>1013.0</v>
      </c>
      <c r="E24" s="54" t="s">
        <v>33</v>
      </c>
      <c r="F24" s="52" t="s">
        <v>34</v>
      </c>
      <c r="G24" s="53"/>
      <c r="H24" s="53"/>
      <c r="I24" s="53"/>
      <c r="J24" s="53"/>
      <c r="K24" s="53"/>
      <c r="L24" s="53"/>
      <c r="M24" s="53"/>
      <c r="N24" s="40"/>
      <c r="O24" s="13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1"/>
      <c r="C25" s="54" t="s">
        <v>35</v>
      </c>
      <c r="D25" s="54">
        <v>1013.0</v>
      </c>
      <c r="E25" s="54" t="s">
        <v>33</v>
      </c>
      <c r="F25" s="52" t="s">
        <v>36</v>
      </c>
      <c r="G25" s="53"/>
      <c r="H25" s="53"/>
      <c r="I25" s="53"/>
      <c r="J25" s="53"/>
      <c r="K25" s="53"/>
      <c r="L25" s="53"/>
      <c r="M25" s="53"/>
      <c r="N25" s="40"/>
      <c r="O25" s="13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1"/>
      <c r="C26" s="51" t="s">
        <v>37</v>
      </c>
      <c r="D26" s="51">
        <f>D11</f>
        <v>5000</v>
      </c>
      <c r="E26" s="51" t="s">
        <v>14</v>
      </c>
      <c r="F26" s="55" t="s">
        <v>38</v>
      </c>
      <c r="G26" s="56"/>
      <c r="H26" s="56"/>
      <c r="I26" s="56"/>
      <c r="J26" s="56"/>
      <c r="K26" s="56"/>
      <c r="L26" s="56"/>
      <c r="M26" s="56"/>
      <c r="N26" s="57"/>
      <c r="O26" s="13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1"/>
      <c r="C27" s="51" t="s">
        <v>39</v>
      </c>
      <c r="D27" s="51">
        <v>0.0</v>
      </c>
      <c r="E27" s="51" t="s">
        <v>40</v>
      </c>
      <c r="F27" s="58"/>
      <c r="G27" s="59"/>
      <c r="H27" s="59"/>
      <c r="I27" s="59"/>
      <c r="J27" s="59"/>
      <c r="K27" s="59"/>
      <c r="L27" s="59"/>
      <c r="M27" s="59"/>
      <c r="N27" s="60"/>
      <c r="O27" s="13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1"/>
      <c r="C28" s="54" t="s">
        <v>41</v>
      </c>
      <c r="D28" s="61">
        <v>10.0</v>
      </c>
      <c r="E28" s="54" t="s">
        <v>40</v>
      </c>
      <c r="F28" s="52" t="s">
        <v>42</v>
      </c>
      <c r="G28" s="53"/>
      <c r="H28" s="53"/>
      <c r="I28" s="53"/>
      <c r="J28" s="53"/>
      <c r="K28" s="53"/>
      <c r="L28" s="53"/>
      <c r="M28" s="53"/>
      <c r="N28" s="40"/>
      <c r="O28" s="13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1"/>
      <c r="C29" s="51" t="s">
        <v>43</v>
      </c>
      <c r="D29" s="51">
        <v>0.2</v>
      </c>
      <c r="E29" s="51" t="s">
        <v>44</v>
      </c>
      <c r="F29" s="52" t="s">
        <v>45</v>
      </c>
      <c r="G29" s="53"/>
      <c r="H29" s="53"/>
      <c r="I29" s="53"/>
      <c r="J29" s="53"/>
      <c r="K29" s="53"/>
      <c r="L29" s="53"/>
      <c r="M29" s="53"/>
      <c r="N29" s="40"/>
      <c r="O29" s="13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3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3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1"/>
      <c r="C32" s="62" t="s">
        <v>46</v>
      </c>
      <c r="D32" s="62"/>
      <c r="E32" s="62"/>
      <c r="F32" s="63" t="s">
        <v>29</v>
      </c>
      <c r="G32" s="53"/>
      <c r="H32" s="53"/>
      <c r="I32" s="53"/>
      <c r="J32" s="53"/>
      <c r="K32" s="53"/>
      <c r="L32" s="53"/>
      <c r="M32" s="53"/>
      <c r="N32" s="40"/>
      <c r="O32" s="13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1"/>
      <c r="C33" s="62" t="s">
        <v>47</v>
      </c>
      <c r="D33" s="64">
        <f>'計算用シート（変更不可）'!C29</f>
        <v>5183.049606</v>
      </c>
      <c r="E33" s="51" t="s">
        <v>14</v>
      </c>
      <c r="F33" s="63" t="s">
        <v>48</v>
      </c>
      <c r="G33" s="53"/>
      <c r="H33" s="53"/>
      <c r="I33" s="53"/>
      <c r="J33" s="53"/>
      <c r="K33" s="53"/>
      <c r="L33" s="53"/>
      <c r="M33" s="53"/>
      <c r="N33" s="40"/>
      <c r="O33" s="13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1"/>
      <c r="C34" s="62" t="s">
        <v>49</v>
      </c>
      <c r="D34" s="65">
        <f>'計算用シート（変更不可）'!C30</f>
        <v>0.8074312876</v>
      </c>
      <c r="E34" s="62" t="s">
        <v>50</v>
      </c>
      <c r="F34" s="63"/>
      <c r="G34" s="53"/>
      <c r="H34" s="53"/>
      <c r="I34" s="53"/>
      <c r="J34" s="53"/>
      <c r="K34" s="53"/>
      <c r="L34" s="53"/>
      <c r="M34" s="53"/>
      <c r="N34" s="40"/>
      <c r="O34" s="13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1"/>
      <c r="C35" s="62" t="s">
        <v>51</v>
      </c>
      <c r="D35" s="65">
        <f>'計算用シート（変更不可）'!C31</f>
        <v>3.103612172</v>
      </c>
      <c r="E35" s="62" t="s">
        <v>44</v>
      </c>
      <c r="F35" s="63" t="s">
        <v>52</v>
      </c>
      <c r="G35" s="53"/>
      <c r="H35" s="53"/>
      <c r="I35" s="53"/>
      <c r="J35" s="53"/>
      <c r="K35" s="53"/>
      <c r="L35" s="53"/>
      <c r="M35" s="53"/>
      <c r="N35" s="40"/>
      <c r="O35" s="13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42"/>
      <c r="C36" s="43"/>
      <c r="D36" s="43"/>
      <c r="E36" s="43"/>
      <c r="F36" s="44"/>
      <c r="G36" s="43"/>
      <c r="H36" s="43"/>
      <c r="I36" s="43"/>
      <c r="J36" s="43"/>
      <c r="K36" s="43"/>
      <c r="L36" s="43"/>
      <c r="M36" s="43"/>
      <c r="N36" s="43"/>
      <c r="O36" s="45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</sheetData>
  <mergeCells count="16">
    <mergeCell ref="C2:D2"/>
    <mergeCell ref="J2:M6"/>
    <mergeCell ref="C9:D9"/>
    <mergeCell ref="D16:E16"/>
    <mergeCell ref="C19:F20"/>
    <mergeCell ref="F22:N22"/>
    <mergeCell ref="F23:N23"/>
    <mergeCell ref="F34:N34"/>
    <mergeCell ref="F35:N35"/>
    <mergeCell ref="F24:N24"/>
    <mergeCell ref="F25:N25"/>
    <mergeCell ref="F26:N27"/>
    <mergeCell ref="F28:N28"/>
    <mergeCell ref="F29:N29"/>
    <mergeCell ref="F32:N32"/>
    <mergeCell ref="F33:N33"/>
  </mergeCells>
  <dataValidations>
    <dataValidation type="list" allowBlank="1" showErrorMessage="1" sqref="D12">
      <formula1>$F$4:$F$9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43"/>
    <col customWidth="1" min="3" max="3" width="13.14"/>
    <col customWidth="1" min="4" max="5" width="8.71"/>
    <col customWidth="1" min="6" max="6" width="12.71"/>
    <col customWidth="1" min="7" max="11" width="8.71"/>
    <col customWidth="1" min="12" max="12" width="12.71"/>
    <col customWidth="1" min="13" max="23" width="8.71"/>
    <col customWidth="1" min="24" max="24" width="10.0"/>
    <col customWidth="1" min="25" max="27" width="8.71"/>
  </cols>
  <sheetData>
    <row r="1" ht="12.75" customHeight="1"/>
    <row r="2" ht="12.75" customHeight="1">
      <c r="B2" s="66" t="s">
        <v>53</v>
      </c>
    </row>
    <row r="3" ht="12.75" customHeight="1"/>
    <row r="4" ht="12.75" customHeight="1">
      <c r="B4" s="66" t="s">
        <v>54</v>
      </c>
    </row>
    <row r="5" ht="12.75" customHeight="1">
      <c r="B5" s="66" t="s">
        <v>55</v>
      </c>
    </row>
    <row r="6" ht="12.75" customHeight="1">
      <c r="B6" s="66" t="s">
        <v>56</v>
      </c>
    </row>
    <row r="7" ht="12.75" customHeight="1">
      <c r="N7" s="66" t="s">
        <v>57</v>
      </c>
      <c r="T7" s="66" t="s">
        <v>58</v>
      </c>
      <c r="V7" s="66" t="s">
        <v>59</v>
      </c>
      <c r="X7" s="67" t="s">
        <v>60</v>
      </c>
    </row>
    <row r="8" ht="12.75" customHeight="1">
      <c r="B8" s="66" t="s">
        <v>61</v>
      </c>
      <c r="C8" s="66">
        <f>'作業用シート'!D23</f>
        <v>47</v>
      </c>
      <c r="D8" s="66" t="s">
        <v>62</v>
      </c>
      <c r="E8" s="66" t="s">
        <v>63</v>
      </c>
      <c r="K8" s="66" t="s">
        <v>64</v>
      </c>
      <c r="L8" s="66" t="s">
        <v>65</v>
      </c>
      <c r="N8" s="66" t="s">
        <v>61</v>
      </c>
      <c r="O8" s="66">
        <f>C25</f>
        <v>5000</v>
      </c>
      <c r="P8" s="66" t="s">
        <v>62</v>
      </c>
      <c r="Q8" s="66" t="s">
        <v>63</v>
      </c>
      <c r="X8" s="2"/>
    </row>
    <row r="9" ht="12.75" customHeight="1">
      <c r="B9" s="66" t="s">
        <v>61</v>
      </c>
      <c r="C9" s="66">
        <f>C8/1000</f>
        <v>0.047</v>
      </c>
      <c r="D9" s="66" t="s">
        <v>66</v>
      </c>
      <c r="K9" s="66">
        <v>0.1</v>
      </c>
      <c r="L9" s="68">
        <f t="shared" ref="L9:L155" si="1">6813.6-((($C$9/10^9)*(K9/$C$11)*((273.15+$C$12)/(273.15+$C$13)))*10^3)*10^9</f>
        <v>6768.841755</v>
      </c>
      <c r="N9" s="66" t="s">
        <v>61</v>
      </c>
      <c r="O9" s="66">
        <f>O8/1000</f>
        <v>5</v>
      </c>
      <c r="P9" s="66" t="s">
        <v>66</v>
      </c>
      <c r="T9" s="66" t="s">
        <v>67</v>
      </c>
      <c r="U9" s="66">
        <v>0.0</v>
      </c>
      <c r="V9" s="66" t="s">
        <v>40</v>
      </c>
      <c r="W9" s="66" t="s">
        <v>68</v>
      </c>
      <c r="X9" s="2" t="s">
        <v>69</v>
      </c>
      <c r="Y9" s="2" t="s">
        <v>70</v>
      </c>
      <c r="Z9" s="2" t="s">
        <v>71</v>
      </c>
      <c r="AA9" s="2" t="s">
        <v>72</v>
      </c>
    </row>
    <row r="10" ht="12.75" customHeight="1">
      <c r="B10" s="66" t="s">
        <v>64</v>
      </c>
      <c r="C10" s="66">
        <f>C27</f>
        <v>0.2</v>
      </c>
      <c r="D10" s="66" t="s">
        <v>44</v>
      </c>
      <c r="K10" s="66">
        <v>0.2</v>
      </c>
      <c r="L10" s="68">
        <f t="shared" si="1"/>
        <v>6724.08351</v>
      </c>
      <c r="N10" s="66" t="s">
        <v>64</v>
      </c>
      <c r="O10" s="68">
        <f t="shared" ref="O10:O11" si="2">C23</f>
        <v>0.1013</v>
      </c>
      <c r="P10" s="66" t="s">
        <v>44</v>
      </c>
      <c r="Q10" s="66" t="s">
        <v>32</v>
      </c>
      <c r="T10" s="66" t="s">
        <v>73</v>
      </c>
      <c r="U10" s="66">
        <v>10.0</v>
      </c>
      <c r="V10" s="66" t="s">
        <v>40</v>
      </c>
      <c r="W10" s="66" t="s">
        <v>41</v>
      </c>
      <c r="X10" s="2" t="s">
        <v>74</v>
      </c>
      <c r="Y10" s="2" t="s">
        <v>75</v>
      </c>
      <c r="Z10" s="2">
        <v>2.0</v>
      </c>
      <c r="AA10" s="2">
        <v>1.41</v>
      </c>
    </row>
    <row r="11" ht="12.75" customHeight="1">
      <c r="B11" s="66" t="s">
        <v>76</v>
      </c>
      <c r="C11" s="69">
        <f>C24</f>
        <v>0.1013</v>
      </c>
      <c r="D11" s="66" t="s">
        <v>44</v>
      </c>
      <c r="E11" s="66" t="s">
        <v>77</v>
      </c>
      <c r="K11" s="66">
        <v>0.3</v>
      </c>
      <c r="L11" s="68">
        <f t="shared" si="1"/>
        <v>6679.325264</v>
      </c>
      <c r="N11" s="66" t="s">
        <v>76</v>
      </c>
      <c r="O11" s="69">
        <f t="shared" si="2"/>
        <v>0.1013</v>
      </c>
      <c r="P11" s="66" t="s">
        <v>44</v>
      </c>
      <c r="Q11" s="66" t="s">
        <v>77</v>
      </c>
      <c r="R11" s="66" t="s">
        <v>35</v>
      </c>
      <c r="T11" s="66" t="s">
        <v>61</v>
      </c>
      <c r="U11" s="66">
        <v>12000.0</v>
      </c>
      <c r="V11" s="66" t="s">
        <v>62</v>
      </c>
      <c r="W11" s="66" t="s">
        <v>78</v>
      </c>
      <c r="X11" s="2" t="s">
        <v>79</v>
      </c>
      <c r="Y11" s="2" t="s">
        <v>80</v>
      </c>
      <c r="Z11" s="2">
        <v>4.0</v>
      </c>
      <c r="AA11" s="2">
        <v>1.67</v>
      </c>
    </row>
    <row r="12" ht="12.75" customHeight="1">
      <c r="B12" s="66" t="s">
        <v>73</v>
      </c>
      <c r="C12" s="66">
        <f>C26</f>
        <v>0</v>
      </c>
      <c r="D12" s="66" t="s">
        <v>40</v>
      </c>
      <c r="K12" s="66">
        <v>0.4</v>
      </c>
      <c r="L12" s="68">
        <f t="shared" si="1"/>
        <v>6634.567019</v>
      </c>
      <c r="N12" s="66" t="s">
        <v>73</v>
      </c>
      <c r="O12" s="66">
        <f>C28</f>
        <v>10</v>
      </c>
      <c r="P12" s="66" t="s">
        <v>40</v>
      </c>
      <c r="Q12" s="66" t="s">
        <v>81</v>
      </c>
      <c r="T12" s="66" t="s">
        <v>82</v>
      </c>
      <c r="U12" s="70">
        <f>U11*((273.15+U9)/(273.15+U10))^(1/(AA11-1))</f>
        <v>11372.99209</v>
      </c>
      <c r="V12" s="66" t="s">
        <v>62</v>
      </c>
      <c r="W12" s="66" t="s">
        <v>83</v>
      </c>
      <c r="X12" s="2" t="s">
        <v>84</v>
      </c>
      <c r="Y12" s="2" t="s">
        <v>85</v>
      </c>
      <c r="Z12" s="2">
        <v>28.0</v>
      </c>
      <c r="AA12" s="2">
        <v>1.4</v>
      </c>
    </row>
    <row r="13" ht="12.75" customHeight="1">
      <c r="B13" s="66" t="s">
        <v>67</v>
      </c>
      <c r="C13" s="66">
        <f>C28</f>
        <v>10</v>
      </c>
      <c r="D13" s="66" t="s">
        <v>40</v>
      </c>
      <c r="K13" s="66">
        <v>0.5</v>
      </c>
      <c r="L13" s="68">
        <f t="shared" si="1"/>
        <v>6589.808774</v>
      </c>
      <c r="N13" s="66" t="s">
        <v>67</v>
      </c>
      <c r="O13" s="66">
        <f>C26</f>
        <v>0</v>
      </c>
      <c r="P13" s="66" t="s">
        <v>40</v>
      </c>
      <c r="Q13" s="66" t="s">
        <v>86</v>
      </c>
      <c r="X13" s="2" t="s">
        <v>87</v>
      </c>
      <c r="Y13" s="2" t="s">
        <v>88</v>
      </c>
      <c r="Z13" s="2">
        <v>32.0</v>
      </c>
      <c r="AA13" s="2">
        <v>1.4</v>
      </c>
    </row>
    <row r="14" ht="12.75" customHeight="1">
      <c r="K14" s="66">
        <v>0.6</v>
      </c>
      <c r="L14" s="68">
        <f t="shared" si="1"/>
        <v>6545.050529</v>
      </c>
      <c r="T14" s="66" t="s">
        <v>89</v>
      </c>
      <c r="U14" s="70">
        <f>U11-U12</f>
        <v>627.0079143</v>
      </c>
      <c r="V14" s="66" t="s">
        <v>62</v>
      </c>
      <c r="X14" s="2" t="s">
        <v>90</v>
      </c>
      <c r="Y14" s="2" t="s">
        <v>91</v>
      </c>
      <c r="Z14" s="2">
        <v>44.0</v>
      </c>
      <c r="AA14" s="2">
        <v>1.29</v>
      </c>
    </row>
    <row r="15" ht="12.75" customHeight="1">
      <c r="B15" s="66" t="s">
        <v>82</v>
      </c>
      <c r="C15" s="71">
        <f>((C9/10^9)*(C10/C11)*((273.15+C12)/(273.15+C13)))*10^3</f>
        <v>0.00000008951649046</v>
      </c>
      <c r="D15" s="66" t="s">
        <v>92</v>
      </c>
      <c r="K15" s="66">
        <v>0.7</v>
      </c>
      <c r="L15" s="68">
        <f t="shared" si="1"/>
        <v>6500.292283</v>
      </c>
      <c r="N15" s="66" t="s">
        <v>82</v>
      </c>
      <c r="O15" s="71">
        <f>((O9/10^9)*(O10/O11)*((273.15+O12)/(273.15+O13)))*10^3</f>
        <v>0.000005183049606</v>
      </c>
      <c r="P15" s="66" t="s">
        <v>92</v>
      </c>
      <c r="X15" s="2" t="s">
        <v>93</v>
      </c>
      <c r="Y15" s="2" t="s">
        <v>94</v>
      </c>
      <c r="Z15" s="2">
        <v>28.96</v>
      </c>
      <c r="AA15" s="2">
        <v>1.4</v>
      </c>
    </row>
    <row r="16" ht="12.75" customHeight="1">
      <c r="B16" s="66" t="s">
        <v>82</v>
      </c>
      <c r="C16" s="72">
        <f>C15*10^6</f>
        <v>0.08951649046</v>
      </c>
      <c r="D16" s="66" t="s">
        <v>66</v>
      </c>
      <c r="K16" s="66">
        <v>0.8</v>
      </c>
      <c r="L16" s="68">
        <f t="shared" si="1"/>
        <v>6455.534038</v>
      </c>
      <c r="N16" s="66" t="s">
        <v>82</v>
      </c>
      <c r="O16" s="72">
        <f>O15*10^6</f>
        <v>5.183049606</v>
      </c>
      <c r="P16" s="66" t="s">
        <v>66</v>
      </c>
      <c r="T16" s="66" t="s">
        <v>95</v>
      </c>
    </row>
    <row r="17" ht="12.75" customHeight="1">
      <c r="B17" s="66" t="s">
        <v>82</v>
      </c>
      <c r="C17" s="73">
        <f>C16*10^3</f>
        <v>89.51649046</v>
      </c>
      <c r="D17" s="66" t="s">
        <v>62</v>
      </c>
      <c r="E17" s="66" t="s">
        <v>96</v>
      </c>
      <c r="K17" s="66">
        <v>0.9</v>
      </c>
      <c r="L17" s="68">
        <f t="shared" si="1"/>
        <v>6410.775793</v>
      </c>
      <c r="N17" s="66" t="s">
        <v>82</v>
      </c>
      <c r="O17" s="73">
        <f>O16*10^3</f>
        <v>5183.049606</v>
      </c>
      <c r="P17" s="66" t="s">
        <v>62</v>
      </c>
      <c r="Q17" s="66" t="s">
        <v>97</v>
      </c>
      <c r="T17" s="66" t="s">
        <v>98</v>
      </c>
    </row>
    <row r="18" ht="12.75" customHeight="1">
      <c r="K18" s="66">
        <v>1.0</v>
      </c>
      <c r="L18" s="68">
        <f t="shared" si="1"/>
        <v>6366.017548</v>
      </c>
    </row>
    <row r="19" ht="12.75" customHeight="1">
      <c r="B19" s="66" t="s">
        <v>65</v>
      </c>
      <c r="C19" s="73">
        <f>6508.7-C17</f>
        <v>6419.18351</v>
      </c>
      <c r="D19" s="66" t="s">
        <v>62</v>
      </c>
      <c r="E19" s="66" t="s">
        <v>99</v>
      </c>
      <c r="K19" s="66">
        <v>1.1</v>
      </c>
      <c r="L19" s="68">
        <f t="shared" si="1"/>
        <v>6321.259302</v>
      </c>
      <c r="N19" s="66" t="s">
        <v>100</v>
      </c>
      <c r="O19" s="73">
        <f>O17-O8</f>
        <v>183.0496064</v>
      </c>
      <c r="P19" s="66" t="s">
        <v>62</v>
      </c>
      <c r="Q19" s="66" t="s">
        <v>101</v>
      </c>
      <c r="T19" s="66" t="s">
        <v>82</v>
      </c>
      <c r="U19" s="66">
        <f>(273.15+U10)*U11/(273.15+U9)</f>
        <v>12439.31906</v>
      </c>
      <c r="V19" s="66" t="s">
        <v>62</v>
      </c>
    </row>
    <row r="20" ht="12.75" customHeight="1">
      <c r="K20" s="66">
        <v>1.2</v>
      </c>
      <c r="L20" s="68">
        <f t="shared" si="1"/>
        <v>6276.501057</v>
      </c>
    </row>
    <row r="21" ht="12.75" customHeight="1">
      <c r="B21" s="66" t="s">
        <v>102</v>
      </c>
      <c r="C21" s="73">
        <f>C19+C17</f>
        <v>6508.7</v>
      </c>
      <c r="D21" s="66" t="s">
        <v>62</v>
      </c>
      <c r="E21" s="66" t="s">
        <v>103</v>
      </c>
      <c r="K21" s="66">
        <v>1.3</v>
      </c>
      <c r="L21" s="68">
        <f t="shared" si="1"/>
        <v>6231.742812</v>
      </c>
      <c r="T21" s="66" t="s">
        <v>89</v>
      </c>
      <c r="U21" s="74">
        <f>U19-U11</f>
        <v>439.3190555</v>
      </c>
      <c r="V21" s="66" t="s">
        <v>62</v>
      </c>
    </row>
    <row r="22" ht="12.75" customHeight="1">
      <c r="C22" s="75"/>
      <c r="G22" s="66" t="s">
        <v>104</v>
      </c>
      <c r="K22" s="66">
        <v>1.4</v>
      </c>
      <c r="L22" s="68">
        <f t="shared" si="1"/>
        <v>6186.984567</v>
      </c>
    </row>
    <row r="23" ht="12.75" customHeight="1">
      <c r="B23" s="66" t="s">
        <v>32</v>
      </c>
      <c r="C23" s="76">
        <f>'作業用シート'!D24*10^-4</f>
        <v>0.1013</v>
      </c>
      <c r="D23" s="66" t="s">
        <v>44</v>
      </c>
      <c r="E23" s="66" t="s">
        <v>105</v>
      </c>
      <c r="G23" s="66" t="s">
        <v>106</v>
      </c>
      <c r="K23" s="66">
        <v>1.5</v>
      </c>
      <c r="L23" s="68">
        <f t="shared" si="1"/>
        <v>6142.226322</v>
      </c>
    </row>
    <row r="24" ht="12.75" customHeight="1">
      <c r="B24" s="66" t="s">
        <v>35</v>
      </c>
      <c r="C24" s="76">
        <f>'作業用シート'!D25*10^-4</f>
        <v>0.1013</v>
      </c>
      <c r="D24" s="66" t="s">
        <v>44</v>
      </c>
      <c r="K24" s="66">
        <v>1.6</v>
      </c>
      <c r="L24" s="68">
        <f t="shared" si="1"/>
        <v>6097.468076</v>
      </c>
    </row>
    <row r="25" ht="12.75" customHeight="1">
      <c r="B25" s="66" t="s">
        <v>107</v>
      </c>
      <c r="C25" s="77">
        <f>'作業用シート'!D26</f>
        <v>5000</v>
      </c>
      <c r="D25" s="66" t="s">
        <v>62</v>
      </c>
      <c r="F25" s="68">
        <f>C21-(O17-(ROUNDDOWN(C30,0.1)*C19))</f>
        <v>1325.650394</v>
      </c>
      <c r="K25" s="66">
        <v>1.7</v>
      </c>
      <c r="L25" s="68">
        <f t="shared" si="1"/>
        <v>6052.709831</v>
      </c>
    </row>
    <row r="26" ht="12.75" customHeight="1">
      <c r="B26" s="66" t="s">
        <v>86</v>
      </c>
      <c r="C26" s="77">
        <f>'作業用シート'!D27</f>
        <v>0</v>
      </c>
      <c r="D26" s="66" t="s">
        <v>40</v>
      </c>
      <c r="F26" s="72">
        <f>14.7-(1/(((C9/10^9)*(1/C11)*((273.15+C12)/(273.15+C13))*(F25/10^9))*10^3))/10^12</f>
        <v>13.01461958</v>
      </c>
      <c r="G26" s="72">
        <f>(F25/C21)*14.7*((273.15+C13)/(273.15+C12))</f>
        <v>3.103612172</v>
      </c>
      <c r="K26" s="66">
        <v>1.8</v>
      </c>
      <c r="L26" s="68">
        <f t="shared" si="1"/>
        <v>6007.951586</v>
      </c>
    </row>
    <row r="27" ht="12.75" customHeight="1">
      <c r="B27" s="66" t="s">
        <v>108</v>
      </c>
      <c r="C27" s="77">
        <f>'作業用シート'!D29</f>
        <v>0.2</v>
      </c>
      <c r="D27" s="66" t="s">
        <v>44</v>
      </c>
      <c r="K27" s="66">
        <v>1.9</v>
      </c>
      <c r="L27" s="68">
        <f t="shared" si="1"/>
        <v>5963.193341</v>
      </c>
    </row>
    <row r="28" ht="12.75" customHeight="1">
      <c r="B28" s="66" t="s">
        <v>41</v>
      </c>
      <c r="C28" s="77">
        <f>'作業用シート'!D28</f>
        <v>10</v>
      </c>
      <c r="D28" s="66" t="s">
        <v>40</v>
      </c>
      <c r="K28" s="66">
        <v>2.0</v>
      </c>
      <c r="L28" s="68">
        <f t="shared" si="1"/>
        <v>5918.435095</v>
      </c>
    </row>
    <row r="29" ht="12.75" customHeight="1">
      <c r="B29" s="66" t="s">
        <v>47</v>
      </c>
      <c r="C29" s="73">
        <f>O17</f>
        <v>5183.049606</v>
      </c>
      <c r="D29" s="66" t="s">
        <v>62</v>
      </c>
      <c r="K29" s="66">
        <v>2.1</v>
      </c>
      <c r="L29" s="68">
        <f t="shared" si="1"/>
        <v>5873.67685</v>
      </c>
    </row>
    <row r="30" ht="12.75" customHeight="1">
      <c r="B30" s="66" t="s">
        <v>109</v>
      </c>
      <c r="C30" s="68">
        <f>O17/C19</f>
        <v>0.8074312876</v>
      </c>
      <c r="D30" s="66" t="s">
        <v>50</v>
      </c>
      <c r="K30" s="66">
        <v>2.2</v>
      </c>
      <c r="L30" s="68">
        <f t="shared" si="1"/>
        <v>5828.918605</v>
      </c>
    </row>
    <row r="31" ht="12.75" customHeight="1">
      <c r="B31" s="66" t="s">
        <v>110</v>
      </c>
      <c r="C31" s="68">
        <f>(F25/C21)*14.7*((273.15+C13)/(273.15+C12))</f>
        <v>3.103612172</v>
      </c>
      <c r="D31" s="66" t="s">
        <v>111</v>
      </c>
      <c r="K31" s="66">
        <v>2.3</v>
      </c>
      <c r="L31" s="68">
        <f t="shared" si="1"/>
        <v>5784.16036</v>
      </c>
    </row>
    <row r="32" ht="12.75" customHeight="1">
      <c r="K32" s="66">
        <v>2.4</v>
      </c>
      <c r="L32" s="68">
        <f t="shared" si="1"/>
        <v>5739.402114</v>
      </c>
    </row>
    <row r="33" ht="12.75" customHeight="1">
      <c r="K33" s="66">
        <v>2.5</v>
      </c>
      <c r="L33" s="68">
        <f t="shared" si="1"/>
        <v>5694.643869</v>
      </c>
    </row>
    <row r="34" ht="12.75" customHeight="1">
      <c r="K34" s="66">
        <v>2.6</v>
      </c>
      <c r="L34" s="68">
        <f t="shared" si="1"/>
        <v>5649.885624</v>
      </c>
    </row>
    <row r="35" ht="12.75" customHeight="1">
      <c r="K35" s="66">
        <v>2.7</v>
      </c>
      <c r="L35" s="68">
        <f t="shared" si="1"/>
        <v>5605.127379</v>
      </c>
    </row>
    <row r="36" ht="12.75" customHeight="1">
      <c r="K36" s="66">
        <v>2.8</v>
      </c>
      <c r="L36" s="68">
        <f t="shared" si="1"/>
        <v>5560.369134</v>
      </c>
    </row>
    <row r="37" ht="12.75" customHeight="1">
      <c r="K37" s="66">
        <v>2.9</v>
      </c>
      <c r="L37" s="68">
        <f t="shared" si="1"/>
        <v>5515.610888</v>
      </c>
    </row>
    <row r="38" ht="12.75" customHeight="1">
      <c r="K38" s="66">
        <v>3.0</v>
      </c>
      <c r="L38" s="68">
        <f t="shared" si="1"/>
        <v>5470.852643</v>
      </c>
    </row>
    <row r="39" ht="12.75" customHeight="1">
      <c r="K39" s="66">
        <v>3.1</v>
      </c>
      <c r="L39" s="68">
        <f t="shared" si="1"/>
        <v>5426.094398</v>
      </c>
    </row>
    <row r="40" ht="12.75" customHeight="1">
      <c r="K40" s="66">
        <v>3.2</v>
      </c>
      <c r="L40" s="68">
        <f t="shared" si="1"/>
        <v>5381.336153</v>
      </c>
    </row>
    <row r="41" ht="12.75" customHeight="1">
      <c r="K41" s="66">
        <v>3.3</v>
      </c>
      <c r="L41" s="68">
        <f t="shared" si="1"/>
        <v>5336.577907</v>
      </c>
    </row>
    <row r="42" ht="12.75" customHeight="1">
      <c r="K42" s="66">
        <v>3.4</v>
      </c>
      <c r="L42" s="68">
        <f t="shared" si="1"/>
        <v>5291.819662</v>
      </c>
    </row>
    <row r="43" ht="12.75" customHeight="1">
      <c r="K43" s="66">
        <v>3.5</v>
      </c>
      <c r="L43" s="68">
        <f t="shared" si="1"/>
        <v>5247.061417</v>
      </c>
    </row>
    <row r="44" ht="12.75" customHeight="1">
      <c r="K44" s="66">
        <v>3.6</v>
      </c>
      <c r="L44" s="68">
        <f t="shared" si="1"/>
        <v>5202.303172</v>
      </c>
    </row>
    <row r="45" ht="12.75" customHeight="1">
      <c r="K45" s="66">
        <v>3.7</v>
      </c>
      <c r="L45" s="68">
        <f t="shared" si="1"/>
        <v>5157.544926</v>
      </c>
    </row>
    <row r="46" ht="12.75" customHeight="1">
      <c r="K46" s="66">
        <v>3.8</v>
      </c>
      <c r="L46" s="68">
        <f t="shared" si="1"/>
        <v>5112.786681</v>
      </c>
    </row>
    <row r="47" ht="12.75" customHeight="1">
      <c r="K47" s="66">
        <v>3.9</v>
      </c>
      <c r="L47" s="68">
        <f t="shared" si="1"/>
        <v>5068.028436</v>
      </c>
    </row>
    <row r="48" ht="12.75" customHeight="1">
      <c r="K48" s="66">
        <v>4.0</v>
      </c>
      <c r="L48" s="68">
        <f t="shared" si="1"/>
        <v>5023.270191</v>
      </c>
    </row>
    <row r="49" ht="12.75" customHeight="1">
      <c r="K49" s="66">
        <v>4.1</v>
      </c>
      <c r="L49" s="68">
        <f t="shared" si="1"/>
        <v>4978.511946</v>
      </c>
    </row>
    <row r="50" ht="12.75" customHeight="1">
      <c r="K50" s="66">
        <v>4.2</v>
      </c>
      <c r="L50" s="68">
        <f t="shared" si="1"/>
        <v>4933.7537</v>
      </c>
    </row>
    <row r="51" ht="12.75" customHeight="1">
      <c r="K51" s="66">
        <v>4.3</v>
      </c>
      <c r="L51" s="68">
        <f t="shared" si="1"/>
        <v>4888.995455</v>
      </c>
    </row>
    <row r="52" ht="12.75" customHeight="1">
      <c r="K52" s="66">
        <v>4.4</v>
      </c>
      <c r="L52" s="68">
        <f t="shared" si="1"/>
        <v>4844.23721</v>
      </c>
    </row>
    <row r="53" ht="12.75" customHeight="1">
      <c r="K53" s="66">
        <v>4.5</v>
      </c>
      <c r="L53" s="68">
        <f t="shared" si="1"/>
        <v>4799.478965</v>
      </c>
    </row>
    <row r="54" ht="12.75" customHeight="1">
      <c r="K54" s="66">
        <v>4.6</v>
      </c>
      <c r="L54" s="68">
        <f t="shared" si="1"/>
        <v>4754.720719</v>
      </c>
    </row>
    <row r="55" ht="12.75" customHeight="1">
      <c r="K55" s="66">
        <v>4.7</v>
      </c>
      <c r="L55" s="68">
        <f t="shared" si="1"/>
        <v>4709.962474</v>
      </c>
    </row>
    <row r="56" ht="12.75" customHeight="1">
      <c r="K56" s="66">
        <v>4.8</v>
      </c>
      <c r="L56" s="68">
        <f t="shared" si="1"/>
        <v>4665.204229</v>
      </c>
    </row>
    <row r="57" ht="12.75" customHeight="1">
      <c r="K57" s="66">
        <v>4.9</v>
      </c>
      <c r="L57" s="68">
        <f t="shared" si="1"/>
        <v>4620.445984</v>
      </c>
    </row>
    <row r="58" ht="12.75" customHeight="1">
      <c r="K58" s="66">
        <v>5.0</v>
      </c>
      <c r="L58" s="68">
        <f t="shared" si="1"/>
        <v>4575.687738</v>
      </c>
    </row>
    <row r="59" ht="12.75" customHeight="1">
      <c r="K59" s="66">
        <v>5.1</v>
      </c>
      <c r="L59" s="68">
        <f t="shared" si="1"/>
        <v>4530.929493</v>
      </c>
    </row>
    <row r="60" ht="12.75" customHeight="1">
      <c r="K60" s="66">
        <v>5.2</v>
      </c>
      <c r="L60" s="68">
        <f t="shared" si="1"/>
        <v>4486.171248</v>
      </c>
    </row>
    <row r="61" ht="12.75" customHeight="1">
      <c r="K61" s="66">
        <v>5.3</v>
      </c>
      <c r="L61" s="68">
        <f t="shared" si="1"/>
        <v>4441.413003</v>
      </c>
    </row>
    <row r="62" ht="12.75" customHeight="1">
      <c r="K62" s="66">
        <v>5.4</v>
      </c>
      <c r="L62" s="68">
        <f t="shared" si="1"/>
        <v>4396.654758</v>
      </c>
    </row>
    <row r="63" ht="12.75" customHeight="1">
      <c r="K63" s="66">
        <v>5.5</v>
      </c>
      <c r="L63" s="68">
        <f t="shared" si="1"/>
        <v>4351.896512</v>
      </c>
    </row>
    <row r="64" ht="12.75" customHeight="1">
      <c r="K64" s="66">
        <v>5.6</v>
      </c>
      <c r="L64" s="68">
        <f t="shared" si="1"/>
        <v>4307.138267</v>
      </c>
    </row>
    <row r="65" ht="12.75" customHeight="1">
      <c r="K65" s="66">
        <v>5.7</v>
      </c>
      <c r="L65" s="68">
        <f t="shared" si="1"/>
        <v>4262.380022</v>
      </c>
    </row>
    <row r="66" ht="12.75" customHeight="1">
      <c r="K66" s="66">
        <v>5.8</v>
      </c>
      <c r="L66" s="68">
        <f t="shared" si="1"/>
        <v>4217.621777</v>
      </c>
    </row>
    <row r="67" ht="12.75" customHeight="1">
      <c r="K67" s="66">
        <v>5.9</v>
      </c>
      <c r="L67" s="68">
        <f t="shared" si="1"/>
        <v>4172.863531</v>
      </c>
    </row>
    <row r="68" ht="12.75" customHeight="1">
      <c r="K68" s="66">
        <v>6.0</v>
      </c>
      <c r="L68" s="68">
        <f t="shared" si="1"/>
        <v>4128.105286</v>
      </c>
    </row>
    <row r="69" ht="12.75" customHeight="1">
      <c r="K69" s="66">
        <v>6.1</v>
      </c>
      <c r="L69" s="68">
        <f t="shared" si="1"/>
        <v>4083.347041</v>
      </c>
    </row>
    <row r="70" ht="12.75" customHeight="1">
      <c r="K70" s="66">
        <v>6.2</v>
      </c>
      <c r="L70" s="68">
        <f t="shared" si="1"/>
        <v>4038.588796</v>
      </c>
    </row>
    <row r="71" ht="12.75" customHeight="1">
      <c r="K71" s="66">
        <v>6.3</v>
      </c>
      <c r="L71" s="68">
        <f t="shared" si="1"/>
        <v>3993.83055</v>
      </c>
    </row>
    <row r="72" ht="12.75" customHeight="1">
      <c r="K72" s="66">
        <v>6.4</v>
      </c>
      <c r="L72" s="68">
        <f t="shared" si="1"/>
        <v>3949.072305</v>
      </c>
    </row>
    <row r="73" ht="12.75" customHeight="1">
      <c r="K73" s="66">
        <v>6.5</v>
      </c>
      <c r="L73" s="68">
        <f t="shared" si="1"/>
        <v>3904.31406</v>
      </c>
    </row>
    <row r="74" ht="12.75" customHeight="1">
      <c r="K74" s="66">
        <v>6.6</v>
      </c>
      <c r="L74" s="68">
        <f t="shared" si="1"/>
        <v>3859.555815</v>
      </c>
    </row>
    <row r="75" ht="12.75" customHeight="1">
      <c r="K75" s="66">
        <v>6.7</v>
      </c>
      <c r="L75" s="68">
        <f t="shared" si="1"/>
        <v>3814.79757</v>
      </c>
    </row>
    <row r="76" ht="12.75" customHeight="1">
      <c r="K76" s="66">
        <v>6.8</v>
      </c>
      <c r="L76" s="68">
        <f t="shared" si="1"/>
        <v>3770.039324</v>
      </c>
    </row>
    <row r="77" ht="12.75" customHeight="1">
      <c r="K77" s="66">
        <v>6.9</v>
      </c>
      <c r="L77" s="68">
        <f t="shared" si="1"/>
        <v>3725.281079</v>
      </c>
    </row>
    <row r="78" ht="12.75" customHeight="1">
      <c r="K78" s="66">
        <v>7.0</v>
      </c>
      <c r="L78" s="68">
        <f t="shared" si="1"/>
        <v>3680.522834</v>
      </c>
    </row>
    <row r="79" ht="12.75" customHeight="1">
      <c r="K79" s="66">
        <v>7.1</v>
      </c>
      <c r="L79" s="68">
        <f t="shared" si="1"/>
        <v>3635.764589</v>
      </c>
    </row>
    <row r="80" ht="12.75" customHeight="1">
      <c r="K80" s="66">
        <v>7.2</v>
      </c>
      <c r="L80" s="68">
        <f t="shared" si="1"/>
        <v>3591.006343</v>
      </c>
    </row>
    <row r="81" ht="12.75" customHeight="1">
      <c r="K81" s="66">
        <v>7.3</v>
      </c>
      <c r="L81" s="68">
        <f t="shared" si="1"/>
        <v>3546.248098</v>
      </c>
    </row>
    <row r="82" ht="12.75" customHeight="1">
      <c r="K82" s="66">
        <v>7.4</v>
      </c>
      <c r="L82" s="68">
        <f t="shared" si="1"/>
        <v>3501.489853</v>
      </c>
    </row>
    <row r="83" ht="12.75" customHeight="1">
      <c r="K83" s="66">
        <v>7.5</v>
      </c>
      <c r="L83" s="68">
        <f t="shared" si="1"/>
        <v>3456.731608</v>
      </c>
    </row>
    <row r="84" ht="12.75" customHeight="1">
      <c r="K84" s="66">
        <v>7.6</v>
      </c>
      <c r="L84" s="68">
        <f t="shared" si="1"/>
        <v>3411.973362</v>
      </c>
    </row>
    <row r="85" ht="12.75" customHeight="1">
      <c r="K85" s="66">
        <v>7.7</v>
      </c>
      <c r="L85" s="68">
        <f t="shared" si="1"/>
        <v>3367.215117</v>
      </c>
    </row>
    <row r="86" ht="12.75" customHeight="1">
      <c r="K86" s="66">
        <v>7.8</v>
      </c>
      <c r="L86" s="68">
        <f t="shared" si="1"/>
        <v>3322.456872</v>
      </c>
    </row>
    <row r="87" ht="12.75" customHeight="1">
      <c r="K87" s="66">
        <v>7.9</v>
      </c>
      <c r="L87" s="68">
        <f t="shared" si="1"/>
        <v>3277.698627</v>
      </c>
    </row>
    <row r="88" ht="12.75" customHeight="1">
      <c r="K88" s="66">
        <v>8.0</v>
      </c>
      <c r="L88" s="68">
        <f t="shared" si="1"/>
        <v>3232.940382</v>
      </c>
    </row>
    <row r="89" ht="12.75" customHeight="1">
      <c r="K89" s="66">
        <v>8.1</v>
      </c>
      <c r="L89" s="68">
        <f t="shared" si="1"/>
        <v>3188.182136</v>
      </c>
    </row>
    <row r="90" ht="12.75" customHeight="1">
      <c r="K90" s="66">
        <v>8.2</v>
      </c>
      <c r="L90" s="68">
        <f t="shared" si="1"/>
        <v>3143.423891</v>
      </c>
    </row>
    <row r="91" ht="12.75" customHeight="1">
      <c r="K91" s="66">
        <v>8.3</v>
      </c>
      <c r="L91" s="68">
        <f t="shared" si="1"/>
        <v>3098.665646</v>
      </c>
    </row>
    <row r="92" ht="12.75" customHeight="1">
      <c r="K92" s="66">
        <v>8.4</v>
      </c>
      <c r="L92" s="68">
        <f t="shared" si="1"/>
        <v>3053.907401</v>
      </c>
    </row>
    <row r="93" ht="12.75" customHeight="1">
      <c r="K93" s="66">
        <v>8.5</v>
      </c>
      <c r="L93" s="68">
        <f t="shared" si="1"/>
        <v>3009.149155</v>
      </c>
    </row>
    <row r="94" ht="12.75" customHeight="1">
      <c r="K94" s="66">
        <v>8.6</v>
      </c>
      <c r="L94" s="68">
        <f t="shared" si="1"/>
        <v>2964.39091</v>
      </c>
    </row>
    <row r="95" ht="12.75" customHeight="1">
      <c r="K95" s="66">
        <v>8.7</v>
      </c>
      <c r="L95" s="68">
        <f t="shared" si="1"/>
        <v>2919.632665</v>
      </c>
    </row>
    <row r="96" ht="12.75" customHeight="1">
      <c r="K96" s="66">
        <v>8.8</v>
      </c>
      <c r="L96" s="68">
        <f t="shared" si="1"/>
        <v>2874.87442</v>
      </c>
    </row>
    <row r="97" ht="12.75" customHeight="1">
      <c r="K97" s="66">
        <v>8.9</v>
      </c>
      <c r="L97" s="68">
        <f t="shared" si="1"/>
        <v>2830.116174</v>
      </c>
    </row>
    <row r="98" ht="12.75" customHeight="1">
      <c r="K98" s="66">
        <v>9.0</v>
      </c>
      <c r="L98" s="68">
        <f t="shared" si="1"/>
        <v>2785.357929</v>
      </c>
    </row>
    <row r="99" ht="12.75" customHeight="1">
      <c r="K99" s="66">
        <v>9.1</v>
      </c>
      <c r="L99" s="68">
        <f t="shared" si="1"/>
        <v>2740.599684</v>
      </c>
    </row>
    <row r="100" ht="12.75" customHeight="1">
      <c r="K100" s="66">
        <v>9.2</v>
      </c>
      <c r="L100" s="68">
        <f t="shared" si="1"/>
        <v>2695.841439</v>
      </c>
    </row>
    <row r="101" ht="12.75" customHeight="1">
      <c r="K101" s="66">
        <v>9.3</v>
      </c>
      <c r="L101" s="68">
        <f t="shared" si="1"/>
        <v>2651.083193</v>
      </c>
    </row>
    <row r="102" ht="12.75" customHeight="1">
      <c r="K102" s="66">
        <v>9.4</v>
      </c>
      <c r="L102" s="68">
        <f t="shared" si="1"/>
        <v>2606.324948</v>
      </c>
    </row>
    <row r="103" ht="12.75" customHeight="1">
      <c r="K103" s="66">
        <v>9.5</v>
      </c>
      <c r="L103" s="68">
        <f t="shared" si="1"/>
        <v>2561.566703</v>
      </c>
    </row>
    <row r="104" ht="12.75" customHeight="1">
      <c r="K104" s="66">
        <v>9.6</v>
      </c>
      <c r="L104" s="68">
        <f t="shared" si="1"/>
        <v>2516.808458</v>
      </c>
    </row>
    <row r="105" ht="12.75" customHeight="1">
      <c r="K105" s="66">
        <v>9.7</v>
      </c>
      <c r="L105" s="68">
        <f t="shared" si="1"/>
        <v>2472.050213</v>
      </c>
    </row>
    <row r="106" ht="12.75" customHeight="1">
      <c r="K106" s="66">
        <v>9.8</v>
      </c>
      <c r="L106" s="68">
        <f t="shared" si="1"/>
        <v>2427.291967</v>
      </c>
    </row>
    <row r="107" ht="12.75" customHeight="1">
      <c r="K107" s="66">
        <v>9.9</v>
      </c>
      <c r="L107" s="68">
        <f t="shared" si="1"/>
        <v>2382.533722</v>
      </c>
    </row>
    <row r="108" ht="12.75" customHeight="1">
      <c r="K108" s="66">
        <v>10.0</v>
      </c>
      <c r="L108" s="68">
        <f t="shared" si="1"/>
        <v>2337.775477</v>
      </c>
    </row>
    <row r="109" ht="12.75" customHeight="1">
      <c r="K109" s="66">
        <v>10.1</v>
      </c>
      <c r="L109" s="68">
        <f t="shared" si="1"/>
        <v>2293.017232</v>
      </c>
    </row>
    <row r="110" ht="12.75" customHeight="1">
      <c r="K110" s="66">
        <v>10.2</v>
      </c>
      <c r="L110" s="68">
        <f t="shared" si="1"/>
        <v>2248.258986</v>
      </c>
    </row>
    <row r="111" ht="12.75" customHeight="1">
      <c r="K111" s="66">
        <v>10.3</v>
      </c>
      <c r="L111" s="68">
        <f t="shared" si="1"/>
        <v>2203.500741</v>
      </c>
    </row>
    <row r="112" ht="12.75" customHeight="1">
      <c r="K112" s="66">
        <v>10.4</v>
      </c>
      <c r="L112" s="68">
        <f t="shared" si="1"/>
        <v>2158.742496</v>
      </c>
    </row>
    <row r="113" ht="12.75" customHeight="1">
      <c r="K113" s="66">
        <v>10.5</v>
      </c>
      <c r="L113" s="68">
        <f t="shared" si="1"/>
        <v>2113.984251</v>
      </c>
    </row>
    <row r="114" ht="12.75" customHeight="1">
      <c r="K114" s="66">
        <v>10.6</v>
      </c>
      <c r="L114" s="68">
        <f t="shared" si="1"/>
        <v>2069.226005</v>
      </c>
    </row>
    <row r="115" ht="12.75" customHeight="1">
      <c r="K115" s="66">
        <v>10.7</v>
      </c>
      <c r="L115" s="68">
        <f t="shared" si="1"/>
        <v>2024.46776</v>
      </c>
    </row>
    <row r="116" ht="12.75" customHeight="1">
      <c r="K116" s="66">
        <v>10.8</v>
      </c>
      <c r="L116" s="68">
        <f t="shared" si="1"/>
        <v>1979.709515</v>
      </c>
    </row>
    <row r="117" ht="12.75" customHeight="1">
      <c r="K117" s="66">
        <v>10.9</v>
      </c>
      <c r="L117" s="68">
        <f t="shared" si="1"/>
        <v>1934.95127</v>
      </c>
    </row>
    <row r="118" ht="12.75" customHeight="1">
      <c r="K118" s="66">
        <v>11.0</v>
      </c>
      <c r="L118" s="68">
        <f t="shared" si="1"/>
        <v>1890.193025</v>
      </c>
    </row>
    <row r="119" ht="12.75" customHeight="1">
      <c r="K119" s="66">
        <v>11.1</v>
      </c>
      <c r="L119" s="68">
        <f t="shared" si="1"/>
        <v>1845.434779</v>
      </c>
    </row>
    <row r="120" ht="12.75" customHeight="1">
      <c r="K120" s="66">
        <v>11.2</v>
      </c>
      <c r="L120" s="68">
        <f t="shared" si="1"/>
        <v>1800.676534</v>
      </c>
    </row>
    <row r="121" ht="12.75" customHeight="1">
      <c r="K121" s="66">
        <v>11.3</v>
      </c>
      <c r="L121" s="68">
        <f t="shared" si="1"/>
        <v>1755.918289</v>
      </c>
    </row>
    <row r="122" ht="12.75" customHeight="1">
      <c r="K122" s="66">
        <v>11.4</v>
      </c>
      <c r="L122" s="68">
        <f t="shared" si="1"/>
        <v>1711.160044</v>
      </c>
    </row>
    <row r="123" ht="12.75" customHeight="1">
      <c r="K123" s="66">
        <v>11.5</v>
      </c>
      <c r="L123" s="68">
        <f t="shared" si="1"/>
        <v>1666.401798</v>
      </c>
    </row>
    <row r="124" ht="12.75" customHeight="1">
      <c r="K124" s="66">
        <v>11.6</v>
      </c>
      <c r="L124" s="68">
        <f t="shared" si="1"/>
        <v>1621.643553</v>
      </c>
    </row>
    <row r="125" ht="12.75" customHeight="1">
      <c r="K125" s="66">
        <v>11.7</v>
      </c>
      <c r="L125" s="68">
        <f t="shared" si="1"/>
        <v>1576.885308</v>
      </c>
    </row>
    <row r="126" ht="12.75" customHeight="1">
      <c r="K126" s="66">
        <v>11.8</v>
      </c>
      <c r="L126" s="68">
        <f t="shared" si="1"/>
        <v>1532.127063</v>
      </c>
    </row>
    <row r="127" ht="12.75" customHeight="1">
      <c r="K127" s="66">
        <v>11.9</v>
      </c>
      <c r="L127" s="68">
        <f t="shared" si="1"/>
        <v>1487.368817</v>
      </c>
    </row>
    <row r="128" ht="12.75" customHeight="1">
      <c r="K128" s="66">
        <v>12.0</v>
      </c>
      <c r="L128" s="68">
        <f t="shared" si="1"/>
        <v>1442.610572</v>
      </c>
    </row>
    <row r="129" ht="12.75" customHeight="1">
      <c r="K129" s="66">
        <v>12.1</v>
      </c>
      <c r="L129" s="68">
        <f t="shared" si="1"/>
        <v>1397.852327</v>
      </c>
    </row>
    <row r="130" ht="12.75" customHeight="1">
      <c r="K130" s="66">
        <v>12.2</v>
      </c>
      <c r="L130" s="68">
        <f t="shared" si="1"/>
        <v>1353.094082</v>
      </c>
    </row>
    <row r="131" ht="12.75" customHeight="1">
      <c r="K131" s="66">
        <v>12.3</v>
      </c>
      <c r="L131" s="68">
        <f t="shared" si="1"/>
        <v>1308.335837</v>
      </c>
    </row>
    <row r="132" ht="12.75" customHeight="1">
      <c r="K132" s="66">
        <v>12.4</v>
      </c>
      <c r="L132" s="68">
        <f t="shared" si="1"/>
        <v>1263.577591</v>
      </c>
    </row>
    <row r="133" ht="12.75" customHeight="1">
      <c r="K133" s="66">
        <v>12.5</v>
      </c>
      <c r="L133" s="68">
        <f t="shared" si="1"/>
        <v>1218.819346</v>
      </c>
    </row>
    <row r="134" ht="12.75" customHeight="1">
      <c r="K134" s="66">
        <v>12.6</v>
      </c>
      <c r="L134" s="68">
        <f t="shared" si="1"/>
        <v>1174.061101</v>
      </c>
    </row>
    <row r="135" ht="12.75" customHeight="1">
      <c r="K135" s="66">
        <v>12.7</v>
      </c>
      <c r="L135" s="68">
        <f t="shared" si="1"/>
        <v>1129.302856</v>
      </c>
    </row>
    <row r="136" ht="12.75" customHeight="1">
      <c r="K136" s="66">
        <v>12.8</v>
      </c>
      <c r="L136" s="68">
        <f t="shared" si="1"/>
        <v>1084.54461</v>
      </c>
    </row>
    <row r="137" ht="12.75" customHeight="1">
      <c r="K137" s="66">
        <v>12.9</v>
      </c>
      <c r="L137" s="68">
        <f t="shared" si="1"/>
        <v>1039.786365</v>
      </c>
    </row>
    <row r="138" ht="12.75" customHeight="1">
      <c r="K138" s="66">
        <v>13.0</v>
      </c>
      <c r="L138" s="68">
        <f t="shared" si="1"/>
        <v>995.0281199</v>
      </c>
    </row>
    <row r="139" ht="12.75" customHeight="1">
      <c r="K139" s="66">
        <v>13.1</v>
      </c>
      <c r="L139" s="68">
        <f t="shared" si="1"/>
        <v>950.2698747</v>
      </c>
    </row>
    <row r="140" ht="12.75" customHeight="1">
      <c r="K140" s="66">
        <v>13.2</v>
      </c>
      <c r="L140" s="68">
        <f t="shared" si="1"/>
        <v>905.5116295</v>
      </c>
    </row>
    <row r="141" ht="12.75" customHeight="1">
      <c r="K141" s="66">
        <v>13.3</v>
      </c>
      <c r="L141" s="68">
        <f t="shared" si="1"/>
        <v>860.7533842</v>
      </c>
    </row>
    <row r="142" ht="12.75" customHeight="1">
      <c r="K142" s="66">
        <v>13.4</v>
      </c>
      <c r="L142" s="68">
        <f t="shared" si="1"/>
        <v>815.995139</v>
      </c>
    </row>
    <row r="143" ht="12.75" customHeight="1">
      <c r="K143" s="66">
        <v>13.5</v>
      </c>
      <c r="L143" s="68">
        <f t="shared" si="1"/>
        <v>771.2368938</v>
      </c>
    </row>
    <row r="144" ht="12.75" customHeight="1">
      <c r="K144" s="66">
        <v>13.6</v>
      </c>
      <c r="L144" s="68">
        <f t="shared" si="1"/>
        <v>726.4786486</v>
      </c>
    </row>
    <row r="145" ht="12.75" customHeight="1">
      <c r="K145" s="66">
        <v>13.7</v>
      </c>
      <c r="L145" s="68">
        <f t="shared" si="1"/>
        <v>681.7204033</v>
      </c>
    </row>
    <row r="146" ht="12.75" customHeight="1">
      <c r="K146" s="66">
        <v>13.8</v>
      </c>
      <c r="L146" s="68">
        <f t="shared" si="1"/>
        <v>636.9621581</v>
      </c>
    </row>
    <row r="147" ht="12.75" customHeight="1">
      <c r="K147" s="66">
        <v>13.9</v>
      </c>
      <c r="L147" s="68">
        <f t="shared" si="1"/>
        <v>592.2039129</v>
      </c>
    </row>
    <row r="148" ht="12.75" customHeight="1">
      <c r="K148" s="66">
        <v>14.0</v>
      </c>
      <c r="L148" s="68">
        <f t="shared" si="1"/>
        <v>547.4456676</v>
      </c>
    </row>
    <row r="149" ht="12.75" customHeight="1">
      <c r="K149" s="66">
        <v>14.1</v>
      </c>
      <c r="L149" s="68">
        <f t="shared" si="1"/>
        <v>502.6874224</v>
      </c>
    </row>
    <row r="150" ht="12.75" customHeight="1">
      <c r="K150" s="66">
        <v>14.2</v>
      </c>
      <c r="L150" s="68">
        <f t="shared" si="1"/>
        <v>457.9291772</v>
      </c>
    </row>
    <row r="151" ht="12.75" customHeight="1">
      <c r="K151" s="66">
        <v>14.3</v>
      </c>
      <c r="L151" s="68">
        <f t="shared" si="1"/>
        <v>413.1709319</v>
      </c>
    </row>
    <row r="152" ht="12.75" customHeight="1">
      <c r="K152" s="66">
        <v>14.4</v>
      </c>
      <c r="L152" s="68">
        <f t="shared" si="1"/>
        <v>368.4126867</v>
      </c>
    </row>
    <row r="153" ht="12.75" customHeight="1">
      <c r="K153" s="66">
        <v>14.5</v>
      </c>
      <c r="L153" s="68">
        <f t="shared" si="1"/>
        <v>323.6544415</v>
      </c>
    </row>
    <row r="154" ht="12.75" customHeight="1">
      <c r="K154" s="66">
        <v>14.6</v>
      </c>
      <c r="L154" s="68">
        <f t="shared" si="1"/>
        <v>278.8961962</v>
      </c>
    </row>
    <row r="155" ht="12.75" customHeight="1">
      <c r="K155" s="66">
        <v>14.7</v>
      </c>
      <c r="L155" s="68">
        <f t="shared" si="1"/>
        <v>234.137951</v>
      </c>
    </row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X7:AA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13.0"/>
    <col customWidth="1" min="4" max="4" width="11.0"/>
    <col customWidth="1" min="5" max="5" width="13.0"/>
    <col customWidth="1" min="6" max="6" width="9.0"/>
    <col customWidth="1" min="7" max="7" width="10.43"/>
    <col customWidth="1" min="8" max="8" width="8.71"/>
    <col customWidth="1" min="9" max="10" width="12.71"/>
    <col customWidth="1" min="11" max="12" width="8.71"/>
    <col customWidth="1" min="13" max="15" width="13.86"/>
    <col customWidth="1" min="16" max="26" width="8.71"/>
  </cols>
  <sheetData>
    <row r="1" ht="12.75" customHeight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2.75" customHeigh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2.75" customHeight="1">
      <c r="A3" s="66" t="s">
        <v>112</v>
      </c>
      <c r="B3" s="66" t="s">
        <v>113</v>
      </c>
      <c r="C3" s="66" t="s">
        <v>114</v>
      </c>
      <c r="D3" s="66" t="s">
        <v>115</v>
      </c>
      <c r="E3" s="66" t="s">
        <v>116</v>
      </c>
      <c r="F3" s="66" t="s">
        <v>117</v>
      </c>
      <c r="G3" s="66" t="s">
        <v>118</v>
      </c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2.75" customHeight="1">
      <c r="A4" s="66"/>
      <c r="B4" s="66"/>
      <c r="C4" s="66"/>
      <c r="D4" s="66"/>
      <c r="E4" s="66"/>
      <c r="F4" s="66"/>
      <c r="G4" s="66"/>
      <c r="H4" s="66"/>
      <c r="I4" s="66" t="s">
        <v>119</v>
      </c>
      <c r="J4" s="66" t="s">
        <v>120</v>
      </c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2.75" customHeight="1">
      <c r="A5" s="66">
        <v>40.0</v>
      </c>
      <c r="B5" s="78"/>
      <c r="C5" s="78">
        <v>2.8714</v>
      </c>
      <c r="D5" s="79">
        <f t="shared" ref="D5:D22" si="1">B$29/C5</f>
        <v>352.8765846</v>
      </c>
      <c r="E5" s="80">
        <f t="shared" ref="E5:E28" si="2">(D5^2)^(1/3)</f>
        <v>49.93616974</v>
      </c>
      <c r="F5" s="78">
        <f t="shared" ref="F5:F28" si="3">130/E5</f>
        <v>2.603323416</v>
      </c>
      <c r="G5" s="78">
        <f t="shared" ref="G5:G29" si="4">F5/$J$7</f>
        <v>2.799363088</v>
      </c>
      <c r="H5" s="66"/>
      <c r="I5" s="79">
        <f>LOOKUP('作業用シート'!D12,L17:L21,N17:N21)</f>
        <v>5575.279763</v>
      </c>
      <c r="J5" s="66">
        <f>'作業用シート'!D11</f>
        <v>5000</v>
      </c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2.75" customHeight="1">
      <c r="A6" s="66">
        <v>35.0</v>
      </c>
      <c r="B6" s="78"/>
      <c r="C6" s="78">
        <v>5.7459</v>
      </c>
      <c r="D6" s="79">
        <f t="shared" si="1"/>
        <v>176.3431012</v>
      </c>
      <c r="E6" s="80">
        <f t="shared" si="2"/>
        <v>31.44650004</v>
      </c>
      <c r="F6" s="78">
        <f t="shared" si="3"/>
        <v>4.134005369</v>
      </c>
      <c r="G6" s="78">
        <f t="shared" si="4"/>
        <v>4.445310929</v>
      </c>
      <c r="H6" s="66"/>
      <c r="I6" s="66" t="s">
        <v>121</v>
      </c>
      <c r="J6" s="66" t="s">
        <v>122</v>
      </c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2.75" customHeight="1">
      <c r="A7" s="66">
        <v>32.2</v>
      </c>
      <c r="B7" s="78"/>
      <c r="C7" s="78">
        <v>8.6314</v>
      </c>
      <c r="D7" s="79">
        <f t="shared" si="1"/>
        <v>117.391133</v>
      </c>
      <c r="E7" s="80">
        <f t="shared" si="2"/>
        <v>23.97490322</v>
      </c>
      <c r="F7" s="78">
        <f t="shared" si="3"/>
        <v>5.4223368</v>
      </c>
      <c r="G7" s="78">
        <f t="shared" si="4"/>
        <v>5.830658378</v>
      </c>
      <c r="H7" s="66"/>
      <c r="I7" s="66">
        <f>J5/I5</f>
        <v>0.8968159829</v>
      </c>
      <c r="J7" s="66">
        <f>(I7^2)^(1/3)</f>
        <v>0.9299699019</v>
      </c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2.75" customHeight="1">
      <c r="A8" s="81">
        <v>30.5</v>
      </c>
      <c r="B8" s="78"/>
      <c r="C8" s="82">
        <v>10.0</v>
      </c>
      <c r="D8" s="79">
        <f t="shared" si="1"/>
        <v>101.3249825</v>
      </c>
      <c r="E8" s="80">
        <f t="shared" si="2"/>
        <v>21.73423499</v>
      </c>
      <c r="F8" s="78">
        <f t="shared" si="3"/>
        <v>5.981346943</v>
      </c>
      <c r="G8" s="78">
        <f t="shared" si="4"/>
        <v>6.431764007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2.75" customHeight="1">
      <c r="A9" s="81">
        <v>30.25</v>
      </c>
      <c r="B9" s="78"/>
      <c r="C9" s="82">
        <v>10.5</v>
      </c>
      <c r="D9" s="79">
        <f t="shared" si="1"/>
        <v>96.49998333</v>
      </c>
      <c r="E9" s="80">
        <f t="shared" si="2"/>
        <v>21.03866406</v>
      </c>
      <c r="F9" s="78">
        <f t="shared" si="3"/>
        <v>6.179099569</v>
      </c>
      <c r="G9" s="78">
        <f t="shared" si="4"/>
        <v>6.644408121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2.75" customHeight="1">
      <c r="A10" s="81">
        <v>30.0</v>
      </c>
      <c r="B10" s="78"/>
      <c r="C10" s="82">
        <v>11.97</v>
      </c>
      <c r="D10" s="79">
        <f t="shared" si="1"/>
        <v>84.64910818</v>
      </c>
      <c r="E10" s="80">
        <f t="shared" si="2"/>
        <v>19.27887073</v>
      </c>
      <c r="F10" s="78">
        <f t="shared" si="3"/>
        <v>6.743133548</v>
      </c>
      <c r="G10" s="78">
        <f t="shared" si="4"/>
        <v>7.250915899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2.75" customHeight="1">
      <c r="A11" s="81">
        <v>29.75</v>
      </c>
      <c r="B11" s="78"/>
      <c r="C11" s="82">
        <v>11.5</v>
      </c>
      <c r="D11" s="79">
        <f t="shared" si="1"/>
        <v>88.10868043</v>
      </c>
      <c r="E11" s="80">
        <f t="shared" si="2"/>
        <v>19.8006356</v>
      </c>
      <c r="F11" s="78">
        <f t="shared" si="3"/>
        <v>6.565445808</v>
      </c>
      <c r="G11" s="78">
        <f t="shared" si="4"/>
        <v>7.059847629</v>
      </c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2.75" customHeight="1">
      <c r="A12" s="81">
        <v>29.5</v>
      </c>
      <c r="B12" s="78"/>
      <c r="C12" s="82">
        <v>12.0</v>
      </c>
      <c r="D12" s="79">
        <f t="shared" si="1"/>
        <v>84.43748541</v>
      </c>
      <c r="E12" s="80">
        <f t="shared" si="2"/>
        <v>19.24672588</v>
      </c>
      <c r="F12" s="78">
        <f t="shared" si="3"/>
        <v>6.75439557</v>
      </c>
      <c r="G12" s="78">
        <f t="shared" si="4"/>
        <v>7.263025992</v>
      </c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2.75" customHeight="1">
      <c r="A13" s="81">
        <v>29.25</v>
      </c>
      <c r="B13" s="78"/>
      <c r="C13" s="82">
        <v>12.5</v>
      </c>
      <c r="D13" s="79">
        <f t="shared" si="1"/>
        <v>81.059986</v>
      </c>
      <c r="E13" s="80">
        <f t="shared" si="2"/>
        <v>18.72999593</v>
      </c>
      <c r="F13" s="78">
        <f t="shared" si="3"/>
        <v>6.940738295</v>
      </c>
      <c r="G13" s="78">
        <f t="shared" si="4"/>
        <v>7.463400999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2.75" customHeight="1">
      <c r="A14" s="81">
        <v>29.0</v>
      </c>
      <c r="B14" s="78"/>
      <c r="C14" s="82">
        <v>13.904</v>
      </c>
      <c r="D14" s="79">
        <f t="shared" si="1"/>
        <v>72.87469972</v>
      </c>
      <c r="E14" s="80">
        <f t="shared" si="2"/>
        <v>17.44688314</v>
      </c>
      <c r="F14" s="78">
        <f t="shared" si="3"/>
        <v>7.451187639</v>
      </c>
      <c r="G14" s="78">
        <f t="shared" si="4"/>
        <v>8.012289025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2.75" customHeight="1">
      <c r="A15" s="81">
        <v>28.75</v>
      </c>
      <c r="B15" s="78"/>
      <c r="C15" s="82">
        <v>13.5</v>
      </c>
      <c r="D15" s="79">
        <f t="shared" si="1"/>
        <v>75.05554259</v>
      </c>
      <c r="E15" s="80">
        <f t="shared" si="2"/>
        <v>17.79324584</v>
      </c>
      <c r="F15" s="78">
        <f t="shared" si="3"/>
        <v>7.306143081</v>
      </c>
      <c r="G15" s="78">
        <f t="shared" si="4"/>
        <v>7.856322087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2.75" customHeight="1">
      <c r="A16" s="81">
        <v>28.5</v>
      </c>
      <c r="B16" s="78"/>
      <c r="C16" s="82">
        <v>14.0</v>
      </c>
      <c r="D16" s="79">
        <f t="shared" si="1"/>
        <v>72.3749875</v>
      </c>
      <c r="E16" s="80">
        <f t="shared" si="2"/>
        <v>17.36703453</v>
      </c>
      <c r="F16" s="78">
        <f t="shared" si="3"/>
        <v>7.485446048</v>
      </c>
      <c r="G16" s="78">
        <f t="shared" si="4"/>
        <v>8.049127216</v>
      </c>
      <c r="H16" s="66"/>
      <c r="I16" s="66"/>
      <c r="J16" s="66"/>
      <c r="K16" s="66"/>
      <c r="L16" s="83" t="s">
        <v>123</v>
      </c>
      <c r="M16" s="84" t="s">
        <v>124</v>
      </c>
      <c r="N16" s="84" t="s">
        <v>125</v>
      </c>
      <c r="O16" s="84" t="s">
        <v>126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2.75" customHeight="1">
      <c r="A17" s="81">
        <v>28.25</v>
      </c>
      <c r="B17" s="78"/>
      <c r="C17" s="82">
        <v>14.5</v>
      </c>
      <c r="D17" s="79">
        <f t="shared" si="1"/>
        <v>69.87929827</v>
      </c>
      <c r="E17" s="80">
        <f t="shared" si="2"/>
        <v>16.96546197</v>
      </c>
      <c r="F17" s="78">
        <f t="shared" si="3"/>
        <v>7.662626588</v>
      </c>
      <c r="G17" s="78">
        <f t="shared" si="4"/>
        <v>8.239650092</v>
      </c>
      <c r="H17" s="66"/>
      <c r="I17" s="66"/>
      <c r="J17" s="66"/>
      <c r="K17" s="66"/>
      <c r="L17" s="66">
        <v>1000.0</v>
      </c>
      <c r="M17" s="66">
        <v>1.8</v>
      </c>
      <c r="N17" s="79">
        <f t="shared" ref="N17:N21" si="5">PI()*M17^3/6*1000</f>
        <v>3053.628059</v>
      </c>
      <c r="O17" s="78">
        <f t="shared" ref="O17:O21" si="6">PI()*M17^2</f>
        <v>10.1787602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2.75" customHeight="1">
      <c r="A18" s="81">
        <v>28.0</v>
      </c>
      <c r="B18" s="78"/>
      <c r="C18" s="82">
        <v>16.161</v>
      </c>
      <c r="D18" s="79">
        <f t="shared" si="1"/>
        <v>62.69722325</v>
      </c>
      <c r="E18" s="80">
        <f t="shared" si="2"/>
        <v>15.78212715</v>
      </c>
      <c r="F18" s="78">
        <f t="shared" si="3"/>
        <v>8.237165924</v>
      </c>
      <c r="G18" s="78">
        <f t="shared" si="4"/>
        <v>8.857454319</v>
      </c>
      <c r="H18" s="66"/>
      <c r="I18" s="66"/>
      <c r="J18" s="66"/>
      <c r="K18" s="66"/>
      <c r="L18" s="66">
        <v>1200.0</v>
      </c>
      <c r="M18" s="66">
        <v>2.0</v>
      </c>
      <c r="N18" s="79">
        <f t="shared" si="5"/>
        <v>4188.790205</v>
      </c>
      <c r="O18" s="78">
        <f t="shared" si="6"/>
        <v>12.56637061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2.75" customHeight="1">
      <c r="A19" s="81">
        <v>26.0</v>
      </c>
      <c r="B19" s="78"/>
      <c r="C19" s="82">
        <v>21.883</v>
      </c>
      <c r="D19" s="79">
        <f t="shared" si="1"/>
        <v>46.30305831</v>
      </c>
      <c r="E19" s="80">
        <f t="shared" si="2"/>
        <v>12.89455774</v>
      </c>
      <c r="F19" s="78">
        <f t="shared" si="3"/>
        <v>10.08177268</v>
      </c>
      <c r="G19" s="78">
        <f t="shared" si="4"/>
        <v>10.84096664</v>
      </c>
      <c r="H19" s="66"/>
      <c r="I19" s="66"/>
      <c r="J19" s="66"/>
      <c r="K19" s="66"/>
      <c r="L19" s="66">
        <v>1500.0</v>
      </c>
      <c r="M19" s="66">
        <v>2.2</v>
      </c>
      <c r="N19" s="79">
        <f t="shared" si="5"/>
        <v>5575.279763</v>
      </c>
      <c r="O19" s="78">
        <f t="shared" si="6"/>
        <v>15.20530844</v>
      </c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2.75" customHeight="1">
      <c r="A20" s="81">
        <v>23.5</v>
      </c>
      <c r="B20" s="78"/>
      <c r="C20" s="82">
        <v>30.0</v>
      </c>
      <c r="D20" s="79">
        <f t="shared" si="1"/>
        <v>33.77499417</v>
      </c>
      <c r="E20" s="80">
        <f t="shared" si="2"/>
        <v>10.44873036</v>
      </c>
      <c r="F20" s="78">
        <f t="shared" si="3"/>
        <v>12.44170302</v>
      </c>
      <c r="G20" s="78">
        <f t="shared" si="4"/>
        <v>13.37860827</v>
      </c>
      <c r="H20" s="66"/>
      <c r="I20" s="66"/>
      <c r="J20" s="66"/>
      <c r="K20" s="66"/>
      <c r="L20" s="66">
        <v>2000.0</v>
      </c>
      <c r="M20" s="66">
        <v>2.5</v>
      </c>
      <c r="N20" s="79">
        <f t="shared" si="5"/>
        <v>8181.230869</v>
      </c>
      <c r="O20" s="78">
        <f t="shared" si="6"/>
        <v>19.63495408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2.75" customHeight="1">
      <c r="A21" s="81">
        <v>22.0</v>
      </c>
      <c r="B21" s="78"/>
      <c r="C21" s="82">
        <v>40.475</v>
      </c>
      <c r="D21" s="79">
        <f t="shared" si="1"/>
        <v>25.03396726</v>
      </c>
      <c r="E21" s="80">
        <f t="shared" si="2"/>
        <v>8.557622408</v>
      </c>
      <c r="F21" s="78">
        <f t="shared" si="3"/>
        <v>15.19113532</v>
      </c>
      <c r="G21" s="78">
        <f t="shared" si="4"/>
        <v>16.33508277</v>
      </c>
      <c r="H21" s="66"/>
      <c r="I21" s="66"/>
      <c r="J21" s="66"/>
      <c r="K21" s="66"/>
      <c r="L21" s="66">
        <v>3000.0</v>
      </c>
      <c r="M21" s="66">
        <v>2.95</v>
      </c>
      <c r="N21" s="79">
        <f t="shared" si="5"/>
        <v>13442.02412</v>
      </c>
      <c r="O21" s="78">
        <f t="shared" si="6"/>
        <v>27.33971007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2.75" customHeight="1">
      <c r="A22" s="81">
        <v>20.5</v>
      </c>
      <c r="B22" s="78"/>
      <c r="C22" s="82">
        <v>50.0</v>
      </c>
      <c r="D22" s="79">
        <f t="shared" si="1"/>
        <v>20.2649965</v>
      </c>
      <c r="E22" s="80">
        <f t="shared" si="2"/>
        <v>7.433003809</v>
      </c>
      <c r="F22" s="78">
        <f t="shared" si="3"/>
        <v>17.48956456</v>
      </c>
      <c r="G22" s="78">
        <f t="shared" si="4"/>
        <v>18.80659205</v>
      </c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2.75" customHeight="1">
      <c r="A23" s="81">
        <v>18.0</v>
      </c>
      <c r="B23" s="78">
        <f t="shared" ref="B23:B29" si="7">((44.331514-A23)/11.880516)^5.255877</f>
        <v>65.56077778</v>
      </c>
      <c r="C23" s="82"/>
      <c r="D23" s="79">
        <f t="shared" ref="D23:D29" si="8">B$29/B23</f>
        <v>15.45512209</v>
      </c>
      <c r="E23" s="80">
        <f t="shared" si="2"/>
        <v>6.204616739</v>
      </c>
      <c r="F23" s="78">
        <f t="shared" si="3"/>
        <v>20.95214023</v>
      </c>
      <c r="G23" s="78">
        <f t="shared" si="4"/>
        <v>22.52991219</v>
      </c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2.75" customHeight="1">
      <c r="A24" s="81">
        <v>16.0</v>
      </c>
      <c r="B24" s="78">
        <f t="shared" si="7"/>
        <v>96.32725868</v>
      </c>
      <c r="C24" s="82"/>
      <c r="D24" s="79">
        <f t="shared" si="8"/>
        <v>10.51882758</v>
      </c>
      <c r="E24" s="80">
        <f t="shared" si="2"/>
        <v>4.80077727</v>
      </c>
      <c r="F24" s="78">
        <f t="shared" si="3"/>
        <v>27.07894841</v>
      </c>
      <c r="G24" s="78">
        <f t="shared" si="4"/>
        <v>29.11809119</v>
      </c>
      <c r="H24" s="66"/>
      <c r="I24" s="66"/>
      <c r="J24" s="66"/>
      <c r="K24" s="66"/>
      <c r="L24" s="66" t="s">
        <v>127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2.75" customHeight="1">
      <c r="A25" s="81">
        <v>15.0</v>
      </c>
      <c r="B25" s="78">
        <f t="shared" si="7"/>
        <v>115.5918985</v>
      </c>
      <c r="C25" s="82"/>
      <c r="D25" s="79">
        <f t="shared" si="8"/>
        <v>8.76575122</v>
      </c>
      <c r="E25" s="80">
        <f t="shared" si="2"/>
        <v>4.251342495</v>
      </c>
      <c r="F25" s="78">
        <f t="shared" si="3"/>
        <v>30.57857609</v>
      </c>
      <c r="G25" s="78">
        <f t="shared" si="4"/>
        <v>32.8812535</v>
      </c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2.75" customHeight="1">
      <c r="A26" s="81">
        <v>13.5</v>
      </c>
      <c r="B26" s="78">
        <f t="shared" si="7"/>
        <v>150.2351804</v>
      </c>
      <c r="C26" s="82"/>
      <c r="D26" s="79">
        <f t="shared" si="8"/>
        <v>6.744424458</v>
      </c>
      <c r="E26" s="80">
        <f t="shared" si="2"/>
        <v>3.569685291</v>
      </c>
      <c r="F26" s="78">
        <f t="shared" si="3"/>
        <v>36.41777619</v>
      </c>
      <c r="G26" s="78">
        <f t="shared" si="4"/>
        <v>39.16016648</v>
      </c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2.75" customHeight="1">
      <c r="A27" s="81">
        <v>12.7</v>
      </c>
      <c r="B27" s="78">
        <f t="shared" si="7"/>
        <v>171.8873618</v>
      </c>
      <c r="C27" s="82"/>
      <c r="D27" s="79">
        <f t="shared" si="8"/>
        <v>5.894847731</v>
      </c>
      <c r="E27" s="80">
        <f t="shared" si="2"/>
        <v>3.26323533</v>
      </c>
      <c r="F27" s="78">
        <f t="shared" si="3"/>
        <v>39.83776433</v>
      </c>
      <c r="G27" s="78">
        <f t="shared" si="4"/>
        <v>42.8376921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2.75" customHeight="1">
      <c r="A28" s="81">
        <v>12.0</v>
      </c>
      <c r="B28" s="78">
        <f t="shared" si="7"/>
        <v>192.8442268</v>
      </c>
      <c r="C28" s="82"/>
      <c r="D28" s="79">
        <f t="shared" si="8"/>
        <v>5.254239869</v>
      </c>
      <c r="E28" s="80">
        <f t="shared" si="2"/>
        <v>3.022316418</v>
      </c>
      <c r="F28" s="78">
        <f t="shared" si="3"/>
        <v>43.01336526</v>
      </c>
      <c r="G28" s="78">
        <f t="shared" si="4"/>
        <v>46.25242727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2.75" customHeight="1">
      <c r="A29" s="81">
        <v>0.0</v>
      </c>
      <c r="B29" s="78">
        <f t="shared" si="7"/>
        <v>1013.249825</v>
      </c>
      <c r="C29" s="82"/>
      <c r="D29" s="79">
        <f t="shared" si="8"/>
        <v>1</v>
      </c>
      <c r="E29" s="66">
        <v>1.0</v>
      </c>
      <c r="F29" s="78">
        <v>130.0</v>
      </c>
      <c r="G29" s="78">
        <f t="shared" si="4"/>
        <v>139.7894703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2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2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2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2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2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2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2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2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2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2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2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2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2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2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2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2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2.75" customHeigh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2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2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2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2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2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2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2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2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2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2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2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2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2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2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2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2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2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2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2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2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2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2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2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2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2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2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2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2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2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2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2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2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2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2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2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2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2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2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2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2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2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2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2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2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2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2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2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2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2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2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2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2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2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2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2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2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2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2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2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2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2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2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2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2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2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2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2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2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2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2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2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2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2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2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2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2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2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2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2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2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2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2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2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2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2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2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2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2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2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2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2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2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2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2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2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2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2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2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2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2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2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2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2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2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2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2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2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2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2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2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2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2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2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2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2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2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2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2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2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2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2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2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2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2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2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2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2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2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2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2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2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2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2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2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2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2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2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2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2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2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2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2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2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2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2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2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2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2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2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2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2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2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2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2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2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2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2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2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2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2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2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2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2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2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2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2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2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2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2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2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2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2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2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2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2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2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2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2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2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2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2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2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2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2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2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2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2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2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2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2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2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2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2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2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2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2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2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2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2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2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2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2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2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2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2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2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2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2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2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2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2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2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2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2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2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2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2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2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2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2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2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2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2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2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2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2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2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2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2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2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2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2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2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2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2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2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2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2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2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2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2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2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2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2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2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2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2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2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2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2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2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2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2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2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2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2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2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2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2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2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2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2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2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2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2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2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2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2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2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2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2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2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2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2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2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2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2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2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2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2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2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2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2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2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2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2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2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2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2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2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2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2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2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2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2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2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2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2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2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2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2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2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2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2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2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2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2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2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2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2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2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2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2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2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2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2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2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2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2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2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2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2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2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2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2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2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2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2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2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2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2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2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2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2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2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2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2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2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2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2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2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2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2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2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2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2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2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2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2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2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2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2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2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2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2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2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2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2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2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2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2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2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2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2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2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2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2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2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2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2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2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2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2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2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2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2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2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2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2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2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2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2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2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2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2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2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2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2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2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2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2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2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2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2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2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2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2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2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2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2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2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2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2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2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2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2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2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2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2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2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2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2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2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2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2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2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2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2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2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2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2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2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2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2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2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2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2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2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2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2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2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2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2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2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2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2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2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2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2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2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2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2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2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2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2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2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2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2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2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2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2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2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2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2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2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2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2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2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2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2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2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2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2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2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2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2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2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2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2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2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2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2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2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2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2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2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2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2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2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2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2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2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2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2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2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2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2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2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2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2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2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2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2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2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2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2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2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2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2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2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2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2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2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2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2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2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2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2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2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2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2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2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2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2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2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2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2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2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2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2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2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2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2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2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2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2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2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2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2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2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2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2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2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2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2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2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2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2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2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2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2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2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2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2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2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2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2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2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2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2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2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2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2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2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2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2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2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2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2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2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2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2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2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2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2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2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2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2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2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2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2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2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2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2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2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2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2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2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2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2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2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2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2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2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2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2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2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2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2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2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2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2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2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2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2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2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2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2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2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2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2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2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2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2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2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2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2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2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2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2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2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2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2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2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2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2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2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2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2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2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2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2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2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2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2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2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2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2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2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2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2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2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2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2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2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2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2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2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2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2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2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2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2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2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2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2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2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2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2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2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2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2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2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2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2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2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2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2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2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2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2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2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2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2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2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2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2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2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2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2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2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2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2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2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2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2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2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2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2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2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2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2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2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2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2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2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2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2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2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2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2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2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2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2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2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2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2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2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2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2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2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2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2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2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2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2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2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2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2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2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2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2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2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2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2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2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2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2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2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2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2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2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2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2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2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2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2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2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2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2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2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2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2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2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2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2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2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2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2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2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2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2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2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2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2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2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2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2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2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2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2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2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2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2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2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2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2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2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2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2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2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2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2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2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2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2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2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2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2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2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2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2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2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2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2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2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2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2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2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2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2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2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2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2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2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2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2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2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2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2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2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2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2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2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2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2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2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2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2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2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2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2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2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2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2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2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2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2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2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2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2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2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2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2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2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2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2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2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2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2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2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2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2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2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2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2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2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2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2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2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2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2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2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2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2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2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2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2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2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2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2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2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2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2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2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2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2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2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2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2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2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2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2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2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2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2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2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2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2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2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2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2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2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2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2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2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2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2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2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2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2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2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2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2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2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2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2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2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2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2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2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2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2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2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2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2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2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2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2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2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2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2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2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2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2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2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2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2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2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2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2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2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2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2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2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2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2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2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2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2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2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2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2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2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2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2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2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2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2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2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2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2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2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2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2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2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2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2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2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2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2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2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2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2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2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2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2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2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2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2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2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2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2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2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2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2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2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2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2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2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2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2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2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2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